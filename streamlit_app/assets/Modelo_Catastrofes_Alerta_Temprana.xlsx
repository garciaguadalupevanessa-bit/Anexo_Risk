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Supuestos" sheetId="2" state="visible" r:id="rId4"/>
    <sheet name="Datos Históricos" sheetId="3" state="visible" r:id="rId5"/>
    <sheet name="Escenarios" sheetId="4" state="visible" r:id="rId6"/>
    <sheet name="Proyecciones" sheetId="5" state="visible" r:id="rId7"/>
    <sheet name="Metodología y Fuen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<sst xmlns="http://schemas.openxmlformats.org/spreadsheetml/2006/main" count="309" uniqueCount="194">
  <si>
    <t xml:space="preserve">Modelo de Inversión en Alerta Temprana vs Costes de Catástrofes Naturales</t>
  </si>
  <si>
    <t xml:space="preserve">Análisis comparativo por región | Datos base: Aon, Swiss Re, Munich Re, EM-DAT, WMO/UNDRR, World Bank</t>
  </si>
  <si>
    <t xml:space="preserve">KPIs por Región (Escenario Base)</t>
  </si>
  <si>
    <t xml:space="preserve">Región</t>
  </si>
  <si>
    <t xml:space="preserve">Pérdidas Hist. Prom. ($B)</t>
  </si>
  <si>
    <t xml:space="preserve">Inversión EWS ($B)</t>
  </si>
  <si>
    <t xml:space="preserve">Pérdidas Evitadas 10 años ($B)</t>
  </si>
  <si>
    <t xml:space="preserve">Ahorro First Responders ($B)</t>
  </si>
  <si>
    <t xml:space="preserve">Beneficio Total ($B)</t>
  </si>
  <si>
    <t xml:space="preserve">Coste Total EWS ($B)</t>
  </si>
  <si>
    <t xml:space="preserve">ROI Proyectado</t>
  </si>
  <si>
    <t xml:space="preserve">BCR</t>
  </si>
  <si>
    <t xml:space="preserve">Reducción % PIB</t>
  </si>
  <si>
    <t xml:space="preserve">Norteamérica</t>
  </si>
  <si>
    <t xml:space="preserve">Sudamérica</t>
  </si>
  <si>
    <t xml:space="preserve">Asia</t>
  </si>
  <si>
    <t xml:space="preserve">Europa Occidental</t>
  </si>
  <si>
    <t xml:space="preserve">Europa Meridional</t>
  </si>
  <si>
    <t xml:space="preserve">Europa Oriental</t>
  </si>
  <si>
    <t xml:space="preserve">África</t>
  </si>
  <si>
    <t xml:space="preserve">Oceanía y Resto</t>
  </si>
  <si>
    <t xml:space="preserve">TOTAL GLOBAL</t>
  </si>
  <si>
    <t xml:space="preserve">Métricas Globales de Referencia</t>
  </si>
  <si>
    <t xml:space="preserve">Pérdidas económicas globales 2024 ($B)</t>
  </si>
  <si>
    <t xml:space="preserve">Fuente: Aon</t>
  </si>
  <si>
    <t xml:space="preserve">Pérdidas económicas globales 2025 ($B)</t>
  </si>
  <si>
    <t xml:space="preserve">Pérdidas aseguradas globales 2025 ($B)</t>
  </si>
  <si>
    <t xml:space="preserve">Brecha de protección global</t>
  </si>
  <si>
    <t xml:space="preserve">ROI documentado EWS (WMO/ONU)</t>
  </si>
  <si>
    <t xml:space="preserve">10x</t>
  </si>
  <si>
    <t xml:space="preserve">Fuente: WMO/UNDRR</t>
  </si>
  <si>
    <t xml:space="preserve">Reducción de daños con 24h aviso</t>
  </si>
  <si>
    <t xml:space="preserve">Fuente: ONU</t>
  </si>
  <si>
    <t xml:space="preserve">Mortalidad con EWS vs sin EWS</t>
  </si>
  <si>
    <t xml:space="preserve">6-8x menor</t>
  </si>
  <si>
    <t xml:space="preserve">Fuente: UNDRR</t>
  </si>
  <si>
    <t xml:space="preserve">BCR adaptación (McKinsey)</t>
  </si>
  <si>
    <t xml:space="preserve">3:1 - 7:1</t>
  </si>
  <si>
    <t xml:space="preserve">Fuente: McKinsey/HBS</t>
  </si>
  <si>
    <t xml:space="preserve">Inversición EW4All ONU ($B)</t>
  </si>
  <si>
    <t xml:space="preserve">Supuestos del Modelo</t>
  </si>
  <si>
    <t xml:space="preserve">Celdas en azul = inputs editables. Celdas en verde = enlaces a otras hojas.</t>
  </si>
  <si>
    <t xml:space="preserve">Parámetros por Escenario</t>
  </si>
  <si>
    <t xml:space="preserve">Parámetro</t>
  </si>
  <si>
    <t xml:space="preserve">Conservador</t>
  </si>
  <si>
    <t xml:space="preserve">Base</t>
  </si>
  <si>
    <t xml:space="preserve">Optimista</t>
  </si>
  <si>
    <t xml:space="preserve">Notas</t>
  </si>
  <si>
    <t xml:space="preserve">% Reducción de pérdidas por EWS</t>
  </si>
  <si>
    <t xml:space="preserve">Rango internacional: 5%-30% (WMO, LSE, ONU)</t>
  </si>
  <si>
    <t xml:space="preserve">% Ahorro en first responders</t>
  </si>
  <si>
    <t xml:space="preserve">Estimación: respuesta más rápida reduce costes directos</t>
  </si>
  <si>
    <t xml:space="preserve">Años para adopción completa</t>
  </si>
  <si>
    <t xml:space="preserve">Tiempo hasta despliegue completo del EWS</t>
  </si>
  <si>
    <t xml:space="preserve">Tasa de descuento</t>
  </si>
  <si>
    <t xml:space="preserve">Para cálculo de VAN</t>
  </si>
  <si>
    <t xml:space="preserve">Horizonte de análisis (años)</t>
  </si>
  <si>
    <t xml:space="preserve">Período de proyección del modelo</t>
  </si>
  <si>
    <t xml:space="preserve">O&amp;M anual como % del capex</t>
  </si>
  <si>
    <t xml:space="preserve">Operación y mantenimiento anual del EWS</t>
  </si>
  <si>
    <t xml:space="preserve">% Costes first responders sobre pérdidas</t>
  </si>
  <si>
    <t xml:space="preserve">Costes de respuesta directa como % de pérdidas</t>
  </si>
  <si>
    <t xml:space="preserve">Parámetros del Escenario Activo (columna Base)</t>
  </si>
  <si>
    <t xml:space="preserve">% Reducción de pérdidas (activo)</t>
  </si>
  <si>
    <t xml:space="preserve">% Ahorro first responders (activo)</t>
  </si>
  <si>
    <t xml:space="preserve">Años ramp-up (activo)</t>
  </si>
  <si>
    <t xml:space="preserve">Tasa de descuento (activa)</t>
  </si>
  <si>
    <t xml:space="preserve">Horizonte (activo)</t>
  </si>
  <si>
    <t xml:space="preserve">O&amp;M % (activo)</t>
  </si>
  <si>
    <t xml:space="preserve">FR cost % (activo)</t>
  </si>
  <si>
    <t xml:space="preserve">Inversión EWS y PIB por Región</t>
  </si>
  <si>
    <t xml:space="preserve">O&amp;M Anual ($B)</t>
  </si>
  <si>
    <t xml:space="preserve">PIB Región ($B)</t>
  </si>
  <si>
    <t xml:space="preserve">Fuente</t>
  </si>
  <si>
    <t xml:space="preserve">World Bank 2024</t>
  </si>
  <si>
    <t xml:space="preserve">TOTAL</t>
  </si>
  <si>
    <t xml:space="preserve">Pérdidas Históricas por Catástrofes Naturales (2021-2025)</t>
  </si>
  <si>
    <t xml:space="preserve">Fuente: Aon, Swiss Re, Munich Re, EM-DAT, NOAA. Valores en miles de millones de USD ($B).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</si>
  <si>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</si>
  <si>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</si>
  <si>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</si>
  <si>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</si>
  <si>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</si>
  <si>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Promedio</t>
  </si>
  <si>
    <t xml:space="preserve">% Total</t>
  </si>
  <si>
    <t xml:space="preserve">PIB ($B)</t>
  </si>
  <si>
    <t xml:space="preserve">% PIB</t>
  </si>
  <si>
    <t xml:space="preserve">Pérdidas Aseguradas y Brecha de Protección ($B)</t>
  </si>
  <si>
    <t xml:space="preserve">Brecha Protección</t>
  </si>
  <si>
    <t xml:space="preserve">Comparativa de Escenarios</t>
  </si>
  <si>
    <t xml:space="preserve">Resultados bajo escenarios conservador, base y optimista.</t>
  </si>
  <si>
    <t xml:space="preserve">% Reducción de pérdidas</t>
  </si>
  <si>
    <t xml:space="preserve">% Ahorro first responders</t>
  </si>
  <si>
    <t xml:space="preserve">Años de adopción</t>
  </si>
  <si>
    <t xml:space="preserve">Horizonte (años)</t>
  </si>
  <si>
    <t xml:space="preserve">Resultados Financieros Globales (10 años, $B)</t>
  </si>
  <si>
    <t xml:space="preserve">Métrica</t>
  </si>
  <si>
    <t xml:space="preserve">Unidad</t>
  </si>
  <si>
    <t xml:space="preserve">Pérdidas promedio anual ($B)</t>
  </si>
  <si>
    <t xml:space="preserve">$B</t>
  </si>
  <si>
    <t xml:space="preserve">Pérdidas evitadas 10 años ($B)</t>
  </si>
  <si>
    <t xml:space="preserve">Ahorro first responders 10 años ($B)</t>
  </si>
  <si>
    <t xml:space="preserve">Beneficio total 10 años ($B)</t>
  </si>
  <si>
    <t xml:space="preserve">Coste total EWS ($B)</t>
  </si>
  <si>
    <t xml:space="preserve">ROI proyectado</t>
  </si>
  <si>
    <t xml:space="preserve">%</t>
  </si>
  <si>
    <t xml:space="preserve">BCR (Beneficio/Coste)</t>
  </si>
  <si>
    <t xml:space="preserve">x</t>
  </si>
  <si>
    <t xml:space="preserve">Reducción de pérdidas sobre PIB</t>
  </si>
  <si>
    <t xml:space="preserve">Payback estimado (años)</t>
  </si>
  <si>
    <t xml:space="preserve">años</t>
  </si>
  <si>
    <t xml:space="preserve">Proyecciones a 10 Años por Región (Escenario Base)</t>
  </si>
  <si>
    <t xml:space="preserve">Proyección anual de pérdidas evitadas, ahorro en first responders y flujo neto.</t>
  </si>
  <si>
    <t xml:space="preserve">Factor de Adopción por Región (Base)</t>
  </si>
  <si>
    <t xml:space="preserve">Factor Adopción Prom.</t>
  </si>
  <si>
    <t xml:space="preserve">Proyección Anual Detallada (10 años, Escenario Base)</t>
  </si>
  <si>
    <t xml:space="preserve">Métrica / Región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</si>
  <si>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</si>
  <si>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</si>
  <si>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</si>
  <si>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</si>
  <si>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</si>
  <si>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</si>
  <si>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</si>
  <si>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</si>
  <si>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</si>
  <si>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</si>
  <si>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Total 10 años</t>
  </si>
  <si>
    <t xml:space="preserve">VAN (6%)</t>
  </si>
  <si>
    <t xml:space="preserve">  Pérdidas evitadas ($B)</t>
  </si>
  <si>
    <t xml:space="preserve">  Ahorro first responders ($B)</t>
  </si>
  <si>
    <t xml:space="preserve">  Beneficio total ($B)</t>
  </si>
  <si>
    <t xml:space="preserve">  Costes EWS ($B)</t>
  </si>
  <si>
    <t xml:space="preserve">  Flujo neto ($B)</t>
  </si>
  <si>
    <t xml:space="preserve">Metodología y Fuentes</t>
  </si>
  <si>
    <t xml:space="preserve">1. Metodología</t>
  </si>
  <si>
    <t xml:space="preserve">Pérdidas históricas</t>
  </si>
  <si>
    <t xml:space="preserve">Promedio de pérdidas económicas por región (2021-2025) según Aon, Swiss Re, Munich Re y EM-DAT. Incluye daños directos e indirectos.</t>
  </si>
  <si>
    <t xml:space="preserve">Inversión EWS</t>
  </si>
  <si>
    <t xml:space="preserve">Estimación basada en la iniciativa EW4All de la ONU ($3.1B global) escalada a sistemas comprehensivos por región.</t>
  </si>
  <si>
    <t xml:space="preserve">Reducción de pérdidas</t>
  </si>
  <si>
    <t xml:space="preserve">La ONU estima que 24h de aviso reduce daños hasta 30%. WMO/UNDRR documenta ROI de 10:1. Rango del modelo: 10%-30%.</t>
  </si>
  <si>
    <t xml:space="preserve">Ahorro first responders</t>
  </si>
  <si>
    <t xml:space="preserve">Costes de respuesta directa estimados como 8% de pérdidas económicas. El ahorro por EWS se modela igual al % de reducción de pérdidas.</t>
  </si>
  <si>
    <t xml:space="preserve">Ramp-up</t>
  </si>
  <si>
    <t xml:space="preserve">Adopción lineal durante 3-5 años hasta alcanzar efectividad completa.</t>
  </si>
  <si>
    <t xml:space="preserve">ROI</t>
  </si>
  <si>
    <t xml:space="preserve">(Beneficios - Costes) / Costes, sobre horizonte de 10 años.</t>
  </si>
  <si>
    <t xml:space="preserve">Beneficio-Coste Ratio = Beneficios totales / Costes totales. Referencia: McKinsey 3:1-7:1, WMO 10:1.</t>
  </si>
  <si>
    <t xml:space="preserve">Pérdidas evitadas / PIB regional. Impacto macroeconómico de la inversión en EWS.</t>
  </si>
  <si>
    <t xml:space="preserve">Limitaciones</t>
  </si>
  <si>
    <t xml:space="preserve">Datos regionales son estimaciones de múltiples fuentes. Costes de first responders sin fuente global homogénea. No incluye beneficios intangibles (vidas salvadas, desplazamientos evitados).</t>
  </si>
  <si>
    <t xml:space="preserve">2. Fuentes de Datos</t>
  </si>
  <si>
    <t xml:space="preserve">Descripción / Dato / URL</t>
  </si>
  <si>
    <t xml:space="preserve">Aon</t>
  </si>
  <si>
    <t xml:space="preserve">Climate and Catastrophe Insight 2026. Pérdidas globales 2025: $260B; 2024: $397B; aseguradas 2025: $127B; brecha protección: 51%
URL: https://www.aon.com/en/insights/reports/climate-and-catastrophe-report</t>
  </si>
  <si>
    <t xml:space="preserve">Swiss Re Institute</t>
  </si>
  <si>
    <t xml:space="preserve">Norteamérica pérdidas aseguradas 2025: &gt;$90B; 2024: $117B. SCS: $46B en 2025
URL: https://www.carriermanagement.com/news/2026/07/23/290308.htm</t>
  </si>
  <si>
    <t xml:space="preserve">NOAA</t>
  </si>
  <si>
    <t xml:space="preserve">EE.UU.: 27 desastres de mil millón+ en 2024, $182.7B en daños
URL: https://coast.noaa.gov/states/fast-facts/hurricane-costs.html</t>
  </si>
  <si>
    <t xml:space="preserve">Munich Re</t>
  </si>
  <si>
    <t xml:space="preserve">Pérdidas globales 2024: ~$320B económicas, ~$140B aseguradas
URL: https://www.munichre.com/en/company/media-relations/media-information-and-corporate-news/business-news/2026/riskscan-2026-survey.html</t>
  </si>
  <si>
    <t xml:space="preserve">EM-DAT / CRED</t>
  </si>
  <si>
    <t xml:space="preserve">358 catástrofes en 2025; 16,000+ fallecidos; 110M afectados
URL: https://www.emdat.be</t>
  </si>
  <si>
    <t xml:space="preserve">WMO / UNDRR</t>
  </si>
  <si>
    <t xml:space="preserve">EWS ROI 10:1; 24h de aviso reduce daños hasta 30%
URL: https://www.itu.int/en/ITU-D/Emergency-Telecommunications/Pages/Early-Warnings-for-All-Initiative.aspx</t>
  </si>
  <si>
    <t xml:space="preserve">ONU (Secretario General)</t>
  </si>
  <si>
    <t xml:space="preserve">Mortalidad 6-8x menor con cobertura EWS
URL: https://www.un.org/sg/en/content/sg/statements/2026-07-17/secretary-generals-remarks-the-dialogue-early-warnings-for-all-response-climate-change-the-world-artificial-intelligence-conference-meteorological-forum-delivered</t>
  </si>
  <si>
    <t xml:space="preserve">McKinsey / HBS</t>
  </si>
  <si>
    <t xml:space="preserve">BCR adaptación: 3:1 actual, 7:1 a 2°C
URL: https://www.hbs.edu/environment/podcast/mckinsey-on-climate-adaptation-the-global-resilience-gap</t>
  </si>
  <si>
    <t xml:space="preserve">GOV.UK</t>
  </si>
  <si>
    <t xml:space="preserve">Adaptación BCR mediano ~4:1, rango 3:1-6:1
URL: https://www.gov.uk/government/publications/economic-opportunities-of-climate-adaptation-for-the-uk/economic-opportunities-of-climate-adaptation-for-the-uk</t>
  </si>
  <si>
    <t xml:space="preserve">LSE</t>
  </si>
  <si>
    <t xml:space="preserve">NZ EWS BCR 4.9:1 (conservador 2.4:1)
URL: https://blogs.lse.ac.uk/impactofsocialsciences/2026/07/13/prevention-loses-budget-battles-wellbeing-economics-can-change-the-maths/</t>
  </si>
  <si>
    <t xml:space="preserve">UNDRR (Belice)</t>
  </si>
  <si>
    <t xml:space="preserve">EWS ROI hasta 6.8x en Belice
URL: https://www.linkedin.com/posts/undrr_stronger-early-warning-systems-mean-safer-activity-7478236120628170752-KPoP</t>
  </si>
  <si>
    <t xml:space="preserve">Insurance Journal / Aon</t>
  </si>
  <si>
    <t xml:space="preserve">Brecha protección: Asia 90%; EE.UU. 70%; EMEA 50%
URL: https://www.insurancejournal.com/news/international/2026/07/22/878624.htm</t>
  </si>
  <si>
    <t xml:space="preserve">World Bank</t>
  </si>
  <si>
    <t xml:space="preserve">PIB por país 2024; gestión de desastres
URL: https://data.worldbank.org/</t>
  </si>
  <si>
    <t xml:space="preserve">Trading Economics</t>
  </si>
  <si>
    <t xml:space="preserve">PIB por país 2024
URL: https://tradingeconomics.com/country-list/gdp</t>
  </si>
  <si>
    <t xml:space="preserve">InsuranceAsia News</t>
  </si>
  <si>
    <t xml:space="preserve">APAC pérdidas catástrofes 2025: $76B
URL: https://insuranceasianews.com/subject/climate/</t>
  </si>
  <si>
    <t xml:space="preserve">Aon (1H 2023)</t>
  </si>
  <si>
    <t xml:space="preserve">Desglose regional 1H 2023; EMEA $111B pérdidas
URL: https://assets.aon.com/-/media/files/aon/capabilities/reinsurance/global-catastrophe-recap-1h-2023.pdf</t>
  </si>
  <si>
    <t xml:space="preserve">3. Notas</t>
  </si>
  <si>
    <t xml:space="preserve">• Las celdas en azul son inputs editables. Modifíquelas para adaptar el modelo.</t>
  </si>
  <si>
    <t xml:space="preserve">• Las fórmulas en negro se recalculan automáticamente.</t>
  </si>
  <si>
    <t xml:space="preserve">• Los enlaces en verde referencian datos de otras hojas del libro.</t>
  </si>
  <si>
    <t xml:space="preserve">• Los datos regionales son estimaciones de múltiples fuentes y pueden no coincidir exactamente con totales globales publicados.</t>
  </si>
  <si>
    <t xml:space="preserve">• El modelo no incluye beneficios intangibles (vidas salvadas, desplazamientos evitados, continuidad educativa).</t>
  </si>
  <si>
    <t xml:space="preserve">• Para análisis de sensibilidad, modifique los parámetros en la hoja Supuestos.</t>
  </si>
  <si>
    <t xml:space="preserve">• El escenario Base asume: 20% reducción de pérdidas, 4 años de ramp-up, 6% tasa de descuento.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</si>
</sst>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"/>
    <numFmt numFmtId="167" formatCode="0.0%"/>
    <numFmt numFmtId="168" formatCode="0.0\x"/>
    <numFmt numFmtId="169" formatCode="\$#,##0;&quot;($&quot;#,##0\);\-"/>
    <numFmt numFmtId="170" formatCode="0.000"/>
    <numFmt numFmtId="171" formatCode="#,##0.0;\(#,##0.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1696F"/>
      <name val="Calibri"/>
      <family val="0"/>
      <charset val="1"/>
    </font>
    <font>
      <i val="true"/>
      <sz val="9"/>
      <color rgb="FF7A7974"/>
      <name val="Calibri"/>
      <family val="0"/>
      <charset val="1"/>
    </font>
    <font>
      <b val="true"/>
      <sz val="12"/>
      <color rgb="FF28251D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28251D"/>
      <name val="Calibri"/>
      <family val="0"/>
      <charset val="1"/>
    </font>
    <font>
      <sz val="10"/>
      <color rgb="FF008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1696F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1696F"/>
      <name val="Calibri"/>
      <family val="0"/>
      <charset val="1"/>
    </font>
    <font>
      <b val="true"/>
      <sz val="10"/>
      <color rgb="FFA12C7B"/>
      <name val="Cambria"/>
      <family val="0"/>
      <charset val="1"/>
    </font>
    <font>
      <b val="true"/>
      <sz val="10"/>
      <color rgb="FF28251D"/>
      <name val="Cambria"/>
      <family val="0"/>
      <charset val="1"/>
    </font>
    <font>
      <b val="true"/>
      <sz val="10"/>
      <color rgb="FF01696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E8F4F5"/>
        <bgColor rgb="FFFFF9E6"/>
      </patternFill>
    </fill>
    <fill>
      <patternFill patternType="solid">
        <fgColor rgb="FFFFF9E6"/>
        <bgColor rgb="FFFFFFFF"/>
      </patternFill>
    </fill>
    <fill>
      <patternFill patternType="solid">
        <fgColor rgb="FFBCE2E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878787"/>
      <rgbColor rgb="FF9999FF"/>
      <rgbColor rgb="FFA12C7B"/>
      <rgbColor rgb="FFFFF9E6"/>
      <rgbColor rgb="FFE8F4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CE2E7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7A7974"/>
      <rgbColor rgb="FF969696"/>
      <rgbColor rgb="FF003366"/>
      <rgbColor rgb="FF339966"/>
      <rgbColor rgb="FF003300"/>
      <rgbColor rgb="FF333300"/>
      <rgbColor rgb="FF993300"/>
      <rgbColor rgb="FFC0504D"/>
      <rgbColor rgb="FF333399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ROI Proyectado por Región (10 años, Escenario Base)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Resumen!I7</c:f>
              <c:strCache>
                <c:ptCount val="1"/>
                <c:pt idx="0">
                  <c:v>ROI Proyectado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Resumen!$B$8:$B$15</c:f>
              <c:strCache>
                <c:ptCount val="8"/>
                <c:pt idx="0">
                  <c:v>Norteamérica</c:v>
                </c:pt>
                <c:pt idx="1">
                  <c:v>Sudamérica</c:v>
                </c:pt>
                <c:pt idx="2">
                  <c:v>Asia</c:v>
                </c:pt>
                <c:pt idx="3">
                  <c:v>Europa Occidental</c:v>
                </c:pt>
                <c:pt idx="4">
                  <c:v>Europa Meridional</c:v>
                </c:pt>
                <c:pt idx="5">
                  <c:v>Europa Oriental</c:v>
                </c:pt>
                <c:pt idx="6">
                  <c:v>África</c:v>
                </c:pt>
                <c:pt idx="7">
                  <c:v>Oceanía y Resto</c:v>
                </c:pt>
              </c:strCache>
            </c:strRef>
          </c:cat>
          <c:val>
            <c:numRef>
              <c:f>Resumen!$I$8:$I$15</c:f>
              <c:numCache>
                <c:formatCode>0.0%</c:formatCode>
                <c:ptCount val="8"/>
                <c:pt idx="0">
                  <c:v>16.901</c:v>
                </c:pt>
                <c:pt idx="1">
                  <c:v>3.01472</c:v>
                </c:pt>
                <c:pt idx="2">
                  <c:v>4.596128</c:v>
                </c:pt>
                <c:pt idx="3">
                  <c:v>2.08448</c:v>
                </c:pt>
                <c:pt idx="4">
                  <c:v>1.467584</c:v>
                </c:pt>
                <c:pt idx="5">
                  <c:v>5.638976</c:v>
                </c:pt>
                <c:pt idx="6">
                  <c:v>0.24848</c:v>
                </c:pt>
                <c:pt idx="7">
                  <c:v>5.65856</c:v>
                </c:pt>
              </c:numCache>
            </c:numRef>
          </c:val>
        </c:ser>
        <c:gapWidth val="150"/>
        <c:overlap val="0"/>
        <c:axId val="49919430"/>
        <c:axId val="46017427"/>
      </c:barChart>
      <c:catAx>
        <c:axId val="499194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Región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017427"/>
        <c:crosses val="autoZero"/>
        <c:auto val="1"/>
        <c:lblAlgn val="ctr"/>
        <c:lblOffset val="100"/>
        <c:noMultiLvlLbl val="0"/>
      </c:catAx>
      <c:valAx>
        <c:axId val="460174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ROI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91943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BCR por Región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Resumen!J7</c:f>
              <c:strCache>
                <c:ptCount val="1"/>
                <c:pt idx="0">
                  <c:v>BCR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Resumen!$B$8:$B$15</c:f>
              <c:strCache>
                <c:ptCount val="8"/>
                <c:pt idx="0">
                  <c:v>Norteamérica</c:v>
                </c:pt>
                <c:pt idx="1">
                  <c:v>Sudamérica</c:v>
                </c:pt>
                <c:pt idx="2">
                  <c:v>Asia</c:v>
                </c:pt>
                <c:pt idx="3">
                  <c:v>Europa Occidental</c:v>
                </c:pt>
                <c:pt idx="4">
                  <c:v>Europa Meridional</c:v>
                </c:pt>
                <c:pt idx="5">
                  <c:v>Europa Oriental</c:v>
                </c:pt>
                <c:pt idx="6">
                  <c:v>África</c:v>
                </c:pt>
                <c:pt idx="7">
                  <c:v>Oceanía y Resto</c:v>
                </c:pt>
              </c:strCache>
            </c:strRef>
          </c:cat>
          <c:val>
            <c:numRef>
              <c:f>Resumen!$J$8:$J$15</c:f>
              <c:numCache>
                <c:formatCode>0.0\x</c:formatCode>
                <c:ptCount val="8"/>
                <c:pt idx="0">
                  <c:v>17.901</c:v>
                </c:pt>
                <c:pt idx="1">
                  <c:v>4.01472</c:v>
                </c:pt>
                <c:pt idx="2">
                  <c:v>5.596128</c:v>
                </c:pt>
                <c:pt idx="3">
                  <c:v>3.08448</c:v>
                </c:pt>
                <c:pt idx="4">
                  <c:v>2.467584</c:v>
                </c:pt>
                <c:pt idx="5">
                  <c:v>6.638976</c:v>
                </c:pt>
                <c:pt idx="6">
                  <c:v>1.24848</c:v>
                </c:pt>
                <c:pt idx="7">
                  <c:v>6.65856</c:v>
                </c:pt>
              </c:numCache>
            </c:numRef>
          </c:val>
        </c:ser>
        <c:gapWidth val="150"/>
        <c:overlap val="0"/>
        <c:axId val="85345929"/>
        <c:axId val="48664426"/>
      </c:barChart>
      <c:catAx>
        <c:axId val="853459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Región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664426"/>
        <c:crosses val="autoZero"/>
        <c:auto val="1"/>
        <c:lblAlgn val="ctr"/>
        <c:lblOffset val="100"/>
        <c:noMultiLvlLbl val="0"/>
      </c:catAx>
      <c:valAx>
        <c:axId val="486644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BCR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x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34592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Pérdidas Históricas vs Evitadas ($B)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Resumen!C7</c:f>
              <c:strCache>
                <c:ptCount val="1"/>
                <c:pt idx="0">
                  <c:v>Pérdidas Hist. Prom. ($B)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Resumen!$B$8:$B$15</c:f>
              <c:strCache>
                <c:ptCount val="8"/>
                <c:pt idx="0">
                  <c:v>Norteamérica</c:v>
                </c:pt>
                <c:pt idx="1">
                  <c:v>Sudamérica</c:v>
                </c:pt>
                <c:pt idx="2">
                  <c:v>Asia</c:v>
                </c:pt>
                <c:pt idx="3">
                  <c:v>Europa Occidental</c:v>
                </c:pt>
                <c:pt idx="4">
                  <c:v>Europa Meridional</c:v>
                </c:pt>
                <c:pt idx="5">
                  <c:v>Europa Oriental</c:v>
                </c:pt>
                <c:pt idx="6">
                  <c:v>África</c:v>
                </c:pt>
                <c:pt idx="7">
                  <c:v>Oceanía y Resto</c:v>
                </c:pt>
              </c:strCache>
            </c:strRef>
          </c:cat>
          <c:val>
            <c:numRef>
              <c:f>Resumen!$C$8:$C$15</c:f>
              <c:numCache>
                <c:formatCode>#,##0</c:formatCode>
                <c:ptCount val="8"/>
                <c:pt idx="0">
                  <c:v>195</c:v>
                </c:pt>
                <c:pt idx="1">
                  <c:v>16.4</c:v>
                </c:pt>
                <c:pt idx="2">
                  <c:v>76.2</c:v>
                </c:pt>
                <c:pt idx="3">
                  <c:v>21</c:v>
                </c:pt>
                <c:pt idx="4">
                  <c:v>8.4</c:v>
                </c:pt>
                <c:pt idx="5">
                  <c:v>22.6</c:v>
                </c:pt>
                <c:pt idx="6">
                  <c:v>6.8</c:v>
                </c:pt>
                <c:pt idx="7">
                  <c:v>13.6</c:v>
                </c:pt>
              </c:numCache>
            </c:numRef>
          </c:val>
        </c:ser>
        <c:ser>
          <c:idx val="1"/>
          <c:order val="1"/>
          <c:tx>
            <c:strRef>
              <c:f>Resumen!E7</c:f>
              <c:strCache>
                <c:ptCount val="1"/>
                <c:pt idx="0">
                  <c:v>Pérdidas Evitadas 10 años ($B)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Resumen!$B$8:$B$15</c:f>
              <c:strCache>
                <c:ptCount val="8"/>
                <c:pt idx="0">
                  <c:v>Norteamérica</c:v>
                </c:pt>
                <c:pt idx="1">
                  <c:v>Sudamérica</c:v>
                </c:pt>
                <c:pt idx="2">
                  <c:v>Asia</c:v>
                </c:pt>
                <c:pt idx="3">
                  <c:v>Europa Occidental</c:v>
                </c:pt>
                <c:pt idx="4">
                  <c:v>Europa Meridional</c:v>
                </c:pt>
                <c:pt idx="5">
                  <c:v>Europa Oriental</c:v>
                </c:pt>
                <c:pt idx="6">
                  <c:v>África</c:v>
                </c:pt>
                <c:pt idx="7">
                  <c:v>Oceanía y Resto</c:v>
                </c:pt>
              </c:strCache>
            </c:strRef>
          </c:cat>
          <c:val>
            <c:numRef>
              <c:f>Resumen!$E$8:$E$15</c:f>
              <c:numCache>
                <c:formatCode>#,##0.0</c:formatCode>
                <c:ptCount val="8"/>
                <c:pt idx="0">
                  <c:v>331.5</c:v>
                </c:pt>
                <c:pt idx="1">
                  <c:v>27.88</c:v>
                </c:pt>
                <c:pt idx="2">
                  <c:v>129.54</c:v>
                </c:pt>
                <c:pt idx="3">
                  <c:v>35.7</c:v>
                </c:pt>
                <c:pt idx="4">
                  <c:v>14.28</c:v>
                </c:pt>
                <c:pt idx="5">
                  <c:v>38.42</c:v>
                </c:pt>
                <c:pt idx="6">
                  <c:v>11.56</c:v>
                </c:pt>
                <c:pt idx="7">
                  <c:v>23.12</c:v>
                </c:pt>
              </c:numCache>
            </c:numRef>
          </c:val>
        </c:ser>
        <c:gapWidth val="150"/>
        <c:overlap val="0"/>
        <c:axId val="31340773"/>
        <c:axId val="23037232"/>
      </c:barChart>
      <c:catAx>
        <c:axId val="313407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Región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037232"/>
        <c:crosses val="autoZero"/>
        <c:auto val="1"/>
        <c:lblAlgn val="ctr"/>
        <c:lblOffset val="100"/>
        <c:noMultiLvlLbl val="0"/>
      </c:catAx>
      <c:valAx>
        <c:axId val="230372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34077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Reducción de Pérdidas sobre PIB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Resumen!K7</c:f>
              <c:strCache>
                <c:ptCount val="1"/>
                <c:pt idx="0">
                  <c:v>Reducción % PIB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Resumen!$B$8:$B$15</c:f>
              <c:strCache>
                <c:ptCount val="8"/>
                <c:pt idx="0">
                  <c:v>Norteamérica</c:v>
                </c:pt>
                <c:pt idx="1">
                  <c:v>Sudamérica</c:v>
                </c:pt>
                <c:pt idx="2">
                  <c:v>Asia</c:v>
                </c:pt>
                <c:pt idx="3">
                  <c:v>Europa Occidental</c:v>
                </c:pt>
                <c:pt idx="4">
                  <c:v>Europa Meridional</c:v>
                </c:pt>
                <c:pt idx="5">
                  <c:v>Europa Oriental</c:v>
                </c:pt>
                <c:pt idx="6">
                  <c:v>África</c:v>
                </c:pt>
                <c:pt idx="7">
                  <c:v>Oceanía y Resto</c:v>
                </c:pt>
              </c:strCache>
            </c:strRef>
          </c:cat>
          <c:val>
            <c:numRef>
              <c:f>Resumen!$K$8:$K$15</c:f>
              <c:numCache>
                <c:formatCode>0.0%</c:formatCode>
                <c:ptCount val="8"/>
                <c:pt idx="0">
                  <c:v>0.00995495495495496</c:v>
                </c:pt>
                <c:pt idx="1">
                  <c:v>0.00619555555555556</c:v>
                </c:pt>
                <c:pt idx="2">
                  <c:v>0.00370114285714286</c:v>
                </c:pt>
                <c:pt idx="3">
                  <c:v>0.002975</c:v>
                </c:pt>
                <c:pt idx="4">
                  <c:v>0.00317333333333333</c:v>
                </c:pt>
                <c:pt idx="5">
                  <c:v>0.00640333333333333</c:v>
                </c:pt>
                <c:pt idx="6">
                  <c:v>0.00385333333333333</c:v>
                </c:pt>
                <c:pt idx="7">
                  <c:v>0.01156</c:v>
                </c:pt>
              </c:numCache>
            </c:numRef>
          </c:val>
        </c:ser>
        <c:gapWidth val="150"/>
        <c:overlap val="0"/>
        <c:axId val="26298855"/>
        <c:axId val="77039376"/>
      </c:barChart>
      <c:catAx>
        <c:axId val="2629885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 PIB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039376"/>
        <c:crosses val="autoZero"/>
        <c:auto val="1"/>
        <c:lblAlgn val="ctr"/>
        <c:lblOffset val="100"/>
        <c:noMultiLvlLbl val="0"/>
      </c:catAx>
      <c:valAx>
        <c:axId val="770393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Región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2988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31</xdr:row>
      <xdr:rowOff>0</xdr:rowOff>
    </xdr:from>
    <xdr:to>
      <xdr:col>6</xdr:col>
      <xdr:colOff>432360</xdr:colOff>
      <xdr:row>51</xdr:row>
      <xdr:rowOff>148680</xdr:rowOff>
    </xdr:to>
    <xdr:graphicFrame>
      <xdr:nvGraphicFramePr>
        <xdr:cNvPr id="1" name="Chart 1"/>
        <xdr:cNvGraphicFramePr/>
      </xdr:nvGraphicFramePr>
      <xdr:xfrm>
        <a:off x="211320" y="6343560"/>
        <a:ext cx="719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31</xdr:row>
      <xdr:rowOff>0</xdr:rowOff>
    </xdr:from>
    <xdr:to>
      <xdr:col>13</xdr:col>
      <xdr:colOff>336960</xdr:colOff>
      <xdr:row>51</xdr:row>
      <xdr:rowOff>148680</xdr:rowOff>
    </xdr:to>
    <xdr:graphicFrame>
      <xdr:nvGraphicFramePr>
        <xdr:cNvPr id="2" name="Chart 2"/>
        <xdr:cNvGraphicFramePr/>
      </xdr:nvGraphicFramePr>
      <xdr:xfrm>
        <a:off x="6977880" y="6343560"/>
        <a:ext cx="719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54</xdr:row>
      <xdr:rowOff>0</xdr:rowOff>
    </xdr:from>
    <xdr:to>
      <xdr:col>6</xdr:col>
      <xdr:colOff>432360</xdr:colOff>
      <xdr:row>74</xdr:row>
      <xdr:rowOff>149040</xdr:rowOff>
    </xdr:to>
    <xdr:graphicFrame>
      <xdr:nvGraphicFramePr>
        <xdr:cNvPr id="3" name="Chart 3"/>
        <xdr:cNvGraphicFramePr/>
      </xdr:nvGraphicFramePr>
      <xdr:xfrm>
        <a:off x="211320" y="10725120"/>
        <a:ext cx="719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54</xdr:row>
      <xdr:rowOff>0</xdr:rowOff>
    </xdr:from>
    <xdr:to>
      <xdr:col>13</xdr:col>
      <xdr:colOff>336960</xdr:colOff>
      <xdr:row>74</xdr:row>
      <xdr:rowOff>149040</xdr:rowOff>
    </xdr:to>
    <xdr:graphicFrame>
      <xdr:nvGraphicFramePr>
        <xdr:cNvPr id="4" name="Chart 4"/>
        <xdr:cNvGraphicFramePr/>
      </xdr:nvGraphicFramePr>
      <xdr:xfrm>
        <a:off x="6977880" y="10725120"/>
        <a:ext cx="719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11" min="3" style="1" width="16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</row>
    <row r="5" customFormat="false" ht="15" hidden="false" customHeight="true" outlineLevel="0" collapsed="false">
      <c r="B5" s="4" t="s">
        <v>2</v>
      </c>
    </row>
    <row r="7" customFormat="false" ht="45" hidden="false" customHeight="true" outlineLevel="0" collapsed="false">
      <c r="B7" s="5" t="s">
        <v>3</v>
      </c>
      <c r="C7" s="5" t="s">
        <v>4</v>
      </c>
      <c r="D7" s="5" t="s">
        <v>5</v>
      </c>
      <c r="E7" s="5" t="s">
        <v>6</v>
      </c>
      <c r="F7" s="5" t="s">
        <v>7</v>
      </c>
      <c r="G7" s="5" t="s">
        <v>8</v>
      </c>
      <c r="H7" s="5" t="s">
        <v>9</v>
      </c>
      <c r="I7" s="5" t="s">
        <v>10</v>
      </c>
      <c r="J7" s="5" t="s">
        <v>11</v>
      </c>
      <c r="K7" s="5" t="s">
        <v>12</v>
      </c>
    </row>
    <row r="8" customFormat="false" ht="15" hidden="false" customHeight="true" outlineLevel="0" collapsed="false">
      <c r="B8" s="6" t="s">
        <v>13</v>
      </c>
      <c r="C8" s="7" t="n">
        <f aca="false">'Datos Históricos'!I6</f>
        <v>195</v>
      </c>
      <c r="D8" s="8" t="n">
        <f aca="false">Supuestos!C26</f>
        <v>8</v>
      </c>
      <c r="E8" s="9" t="n">
        <f aca="false">C8*0.17*10</f>
        <v>331.5</v>
      </c>
      <c r="F8" s="9" t="n">
        <f aca="false">C8*0.08*0.17*10</f>
        <v>26.52</v>
      </c>
      <c r="G8" s="9" t="n">
        <f aca="false">E8+F8</f>
        <v>358.02</v>
      </c>
      <c r="H8" s="9" t="n">
        <f aca="false">D8*(1+0.15*10)</f>
        <v>20</v>
      </c>
      <c r="I8" s="10" t="n">
        <f aca="false">(G8-H8)/H8</f>
        <v>16.901</v>
      </c>
      <c r="J8" s="11" t="n">
        <f aca="false">G8/H8</f>
        <v>17.901</v>
      </c>
      <c r="K8" s="10" t="n">
        <f aca="false">E8/Supuestos!E26</f>
        <v>0.00995495495495496</v>
      </c>
    </row>
    <row r="9" customFormat="false" ht="15" hidden="false" customHeight="true" outlineLevel="0" collapsed="false">
      <c r="B9" s="6" t="s">
        <v>14</v>
      </c>
      <c r="C9" s="7" t="n">
        <f aca="false">'Datos Históricos'!I7</f>
        <v>16.4</v>
      </c>
      <c r="D9" s="8" t="n">
        <f aca="false">Supuestos!C27</f>
        <v>3</v>
      </c>
      <c r="E9" s="9" t="n">
        <f aca="false">C9*0.17*10</f>
        <v>27.88</v>
      </c>
      <c r="F9" s="9" t="n">
        <f aca="false">C9*0.08*0.17*10</f>
        <v>2.2304</v>
      </c>
      <c r="G9" s="9" t="n">
        <f aca="false">E9+F9</f>
        <v>30.1104</v>
      </c>
      <c r="H9" s="9" t="n">
        <f aca="false">D9*(1+0.15*10)</f>
        <v>7.5</v>
      </c>
      <c r="I9" s="10" t="n">
        <f aca="false">(G9-H9)/H9</f>
        <v>3.01472</v>
      </c>
      <c r="J9" s="11" t="n">
        <f aca="false">G9/H9</f>
        <v>4.01472</v>
      </c>
      <c r="K9" s="10" t="n">
        <f aca="false">E9/Supuestos!E27</f>
        <v>0.00619555555555556</v>
      </c>
    </row>
    <row r="10" customFormat="false" ht="15" hidden="false" customHeight="true" outlineLevel="0" collapsed="false">
      <c r="B10" s="6" t="s">
        <v>15</v>
      </c>
      <c r="C10" s="7" t="n">
        <f aca="false">'Datos Históricos'!I8</f>
        <v>76.2</v>
      </c>
      <c r="D10" s="8" t="n">
        <f aca="false">Supuestos!C28</f>
        <v>10</v>
      </c>
      <c r="E10" s="9" t="n">
        <f aca="false">C10*0.17*10</f>
        <v>129.54</v>
      </c>
      <c r="F10" s="9" t="n">
        <f aca="false">C10*0.08*0.17*10</f>
        <v>10.3632</v>
      </c>
      <c r="G10" s="9" t="n">
        <f aca="false">E10+F10</f>
        <v>139.9032</v>
      </c>
      <c r="H10" s="9" t="n">
        <f aca="false">D10*(1+0.15*10)</f>
        <v>25</v>
      </c>
      <c r="I10" s="10" t="n">
        <f aca="false">(G10-H10)/H10</f>
        <v>4.596128</v>
      </c>
      <c r="J10" s="11" t="n">
        <f aca="false">G10/H10</f>
        <v>5.596128</v>
      </c>
      <c r="K10" s="10" t="n">
        <f aca="false">E10/Supuestos!E28</f>
        <v>0.00370114285714286</v>
      </c>
    </row>
    <row r="11" customFormat="false" ht="15" hidden="false" customHeight="true" outlineLevel="0" collapsed="false">
      <c r="B11" s="6" t="s">
        <v>16</v>
      </c>
      <c r="C11" s="7" t="n">
        <f aca="false">'Datos Históricos'!I9</f>
        <v>21</v>
      </c>
      <c r="D11" s="8" t="n">
        <f aca="false">Supuestos!C29</f>
        <v>5</v>
      </c>
      <c r="E11" s="9" t="n">
        <f aca="false">C11*0.17*10</f>
        <v>35.7</v>
      </c>
      <c r="F11" s="9" t="n">
        <f aca="false">C11*0.08*0.17*10</f>
        <v>2.856</v>
      </c>
      <c r="G11" s="9" t="n">
        <f aca="false">E11+F11</f>
        <v>38.556</v>
      </c>
      <c r="H11" s="9" t="n">
        <f aca="false">D11*(1+0.15*10)</f>
        <v>12.5</v>
      </c>
      <c r="I11" s="10" t="n">
        <f aca="false">(G11-H11)/H11</f>
        <v>2.08448</v>
      </c>
      <c r="J11" s="11" t="n">
        <f aca="false">G11/H11</f>
        <v>3.08448</v>
      </c>
      <c r="K11" s="10" t="n">
        <f aca="false">E11/Supuestos!E29</f>
        <v>0.002975</v>
      </c>
    </row>
    <row r="12" customFormat="false" ht="15" hidden="false" customHeight="true" outlineLevel="0" collapsed="false">
      <c r="B12" s="6" t="s">
        <v>17</v>
      </c>
      <c r="C12" s="7" t="n">
        <f aca="false">'Datos Históricos'!I10</f>
        <v>8.4</v>
      </c>
      <c r="D12" s="8" t="n">
        <f aca="false">Supuestos!C30</f>
        <v>2.5</v>
      </c>
      <c r="E12" s="9" t="n">
        <f aca="false">C12*0.17*10</f>
        <v>14.28</v>
      </c>
      <c r="F12" s="9" t="n">
        <f aca="false">C12*0.08*0.17*10</f>
        <v>1.1424</v>
      </c>
      <c r="G12" s="9" t="n">
        <f aca="false">E12+F12</f>
        <v>15.4224</v>
      </c>
      <c r="H12" s="9" t="n">
        <f aca="false">D12*(1+0.15*10)</f>
        <v>6.25</v>
      </c>
      <c r="I12" s="10" t="n">
        <f aca="false">(G12-H12)/H12</f>
        <v>1.467584</v>
      </c>
      <c r="J12" s="11" t="n">
        <f aca="false">G12/H12</f>
        <v>2.467584</v>
      </c>
      <c r="K12" s="10" t="n">
        <f aca="false">E12/Supuestos!E30</f>
        <v>0.00317333333333333</v>
      </c>
    </row>
    <row r="13" customFormat="false" ht="15" hidden="false" customHeight="true" outlineLevel="0" collapsed="false">
      <c r="B13" s="6" t="s">
        <v>18</v>
      </c>
      <c r="C13" s="7" t="n">
        <f aca="false">'Datos Históricos'!I11</f>
        <v>22.6</v>
      </c>
      <c r="D13" s="8" t="n">
        <f aca="false">Supuestos!C31</f>
        <v>2.5</v>
      </c>
      <c r="E13" s="9" t="n">
        <f aca="false">C13*0.17*10</f>
        <v>38.42</v>
      </c>
      <c r="F13" s="9" t="n">
        <f aca="false">C13*0.08*0.17*10</f>
        <v>3.0736</v>
      </c>
      <c r="G13" s="9" t="n">
        <f aca="false">E13+F13</f>
        <v>41.4936</v>
      </c>
      <c r="H13" s="9" t="n">
        <f aca="false">D13*(1+0.15*10)</f>
        <v>6.25</v>
      </c>
      <c r="I13" s="10" t="n">
        <f aca="false">(G13-H13)/H13</f>
        <v>5.638976</v>
      </c>
      <c r="J13" s="11" t="n">
        <f aca="false">G13/H13</f>
        <v>6.638976</v>
      </c>
      <c r="K13" s="10" t="n">
        <f aca="false">E13/Supuestos!E31</f>
        <v>0.00640333333333333</v>
      </c>
    </row>
    <row r="14" customFormat="false" ht="15" hidden="false" customHeight="true" outlineLevel="0" collapsed="false">
      <c r="B14" s="6" t="s">
        <v>19</v>
      </c>
      <c r="C14" s="7" t="n">
        <f aca="false">'Datos Históricos'!I12</f>
        <v>6.8</v>
      </c>
      <c r="D14" s="8" t="n">
        <f aca="false">Supuestos!C32</f>
        <v>4</v>
      </c>
      <c r="E14" s="9" t="n">
        <f aca="false">C14*0.17*10</f>
        <v>11.56</v>
      </c>
      <c r="F14" s="9" t="n">
        <f aca="false">C14*0.08*0.17*10</f>
        <v>0.9248</v>
      </c>
      <c r="G14" s="9" t="n">
        <f aca="false">E14+F14</f>
        <v>12.4848</v>
      </c>
      <c r="H14" s="9" t="n">
        <f aca="false">D14*(1+0.15*10)</f>
        <v>10</v>
      </c>
      <c r="I14" s="10" t="n">
        <f aca="false">(G14-H14)/H14</f>
        <v>0.24848</v>
      </c>
      <c r="J14" s="11" t="n">
        <f aca="false">G14/H14</f>
        <v>1.24848</v>
      </c>
      <c r="K14" s="10" t="n">
        <f aca="false">E14/Supuestos!E32</f>
        <v>0.00385333333333333</v>
      </c>
    </row>
    <row r="15" customFormat="false" ht="15" hidden="false" customHeight="true" outlineLevel="0" collapsed="false">
      <c r="B15" s="6" t="s">
        <v>20</v>
      </c>
      <c r="C15" s="7" t="n">
        <f aca="false">'Datos Históricos'!I13</f>
        <v>13.6</v>
      </c>
      <c r="D15" s="8" t="n">
        <f aca="false">Supuestos!C33</f>
        <v>1.5</v>
      </c>
      <c r="E15" s="9" t="n">
        <f aca="false">C15*0.17*10</f>
        <v>23.12</v>
      </c>
      <c r="F15" s="9" t="n">
        <f aca="false">C15*0.08*0.17*10</f>
        <v>1.8496</v>
      </c>
      <c r="G15" s="9" t="n">
        <f aca="false">E15+F15</f>
        <v>24.9696</v>
      </c>
      <c r="H15" s="9" t="n">
        <f aca="false">D15*(1+0.15*10)</f>
        <v>3.75</v>
      </c>
      <c r="I15" s="10" t="n">
        <f aca="false">(G15-H15)/H15</f>
        <v>5.65856</v>
      </c>
      <c r="J15" s="11" t="n">
        <f aca="false">G15/H15</f>
        <v>6.65856</v>
      </c>
      <c r="K15" s="10" t="n">
        <f aca="false">E15/Supuestos!E33</f>
        <v>0.01156</v>
      </c>
    </row>
    <row r="16" customFormat="false" ht="15" hidden="false" customHeight="true" outlineLevel="0" collapsed="false">
      <c r="B16" s="12" t="s">
        <v>21</v>
      </c>
      <c r="C16" s="13" t="n">
        <f aca="false">SUM(C8:C15)</f>
        <v>360</v>
      </c>
      <c r="D16" s="13" t="n">
        <f aca="false">SUM(D8:D15)</f>
        <v>36.5</v>
      </c>
      <c r="E16" s="13" t="n">
        <f aca="false">SUM(E8:E15)</f>
        <v>612</v>
      </c>
      <c r="F16" s="13" t="n">
        <f aca="false">SUM(F8:F15)</f>
        <v>48.96</v>
      </c>
      <c r="G16" s="13" t="n">
        <f aca="false">SUM(G8:G15)</f>
        <v>660.96</v>
      </c>
      <c r="H16" s="13" t="n">
        <f aca="false">SUM(H8:H15)</f>
        <v>91.25</v>
      </c>
      <c r="I16" s="14" t="n">
        <f aca="false">(G16-H16)/H16</f>
        <v>6.24339726027397</v>
      </c>
      <c r="J16" s="15" t="n">
        <f aca="false">G16/H16</f>
        <v>7.24339726027397</v>
      </c>
      <c r="K16" s="14" t="n">
        <f aca="false">E16/SUM(Supuestos!E26:E33)</f>
        <v>0.00610169491525424</v>
      </c>
    </row>
    <row r="19" customFormat="false" ht="15" hidden="false" customHeight="true" outlineLevel="0" collapsed="false">
      <c r="B19" s="4" t="s">
        <v>22</v>
      </c>
    </row>
    <row r="20" customFormat="false" ht="15" hidden="false" customHeight="true" outlineLevel="0" collapsed="false">
      <c r="B20" s="6" t="s">
        <v>23</v>
      </c>
      <c r="C20" s="16" t="n">
        <v>397</v>
      </c>
      <c r="D20" s="17" t="s">
        <v>24</v>
      </c>
    </row>
    <row r="21" customFormat="false" ht="15" hidden="false" customHeight="true" outlineLevel="0" collapsed="false">
      <c r="B21" s="6" t="s">
        <v>25</v>
      </c>
      <c r="C21" s="16" t="n">
        <v>260</v>
      </c>
      <c r="D21" s="17" t="s">
        <v>24</v>
      </c>
    </row>
    <row r="22" customFormat="false" ht="15" hidden="false" customHeight="true" outlineLevel="0" collapsed="false">
      <c r="B22" s="6" t="s">
        <v>26</v>
      </c>
      <c r="C22" s="16" t="n">
        <v>127</v>
      </c>
      <c r="D22" s="17" t="s">
        <v>24</v>
      </c>
    </row>
    <row r="23" customFormat="false" ht="15" hidden="false" customHeight="true" outlineLevel="0" collapsed="false">
      <c r="B23" s="6" t="s">
        <v>27</v>
      </c>
      <c r="C23" s="18" t="n">
        <v>0.51</v>
      </c>
      <c r="D23" s="17" t="s">
        <v>24</v>
      </c>
    </row>
    <row r="24" customFormat="false" ht="15" hidden="false" customHeight="true" outlineLevel="0" collapsed="false">
      <c r="B24" s="6" t="s">
        <v>28</v>
      </c>
      <c r="C24" s="19" t="s">
        <v>29</v>
      </c>
      <c r="D24" s="17" t="s">
        <v>30</v>
      </c>
    </row>
    <row r="25" customFormat="false" ht="15" hidden="false" customHeight="true" outlineLevel="0" collapsed="false">
      <c r="B25" s="6" t="s">
        <v>31</v>
      </c>
      <c r="C25" s="18" t="n">
        <v>0.3</v>
      </c>
      <c r="D25" s="17" t="s">
        <v>32</v>
      </c>
    </row>
    <row r="26" customFormat="false" ht="15" hidden="false" customHeight="true" outlineLevel="0" collapsed="false">
      <c r="B26" s="6" t="s">
        <v>33</v>
      </c>
      <c r="C26" s="19" t="s">
        <v>34</v>
      </c>
      <c r="D26" s="17" t="s">
        <v>35</v>
      </c>
    </row>
    <row r="27" customFormat="false" ht="15" hidden="false" customHeight="true" outlineLevel="0" collapsed="false">
      <c r="B27" s="6" t="s">
        <v>36</v>
      </c>
      <c r="C27" s="19" t="s">
        <v>37</v>
      </c>
      <c r="D27" s="17" t="s">
        <v>38</v>
      </c>
    </row>
    <row r="28" customFormat="false" ht="15" hidden="false" customHeight="true" outlineLevel="0" collapsed="false">
      <c r="B28" s="6" t="s">
        <v>39</v>
      </c>
      <c r="C28" s="16" t="n">
        <v>3.1</v>
      </c>
      <c r="D28" s="17" t="s">
        <v>32</v>
      </c>
    </row>
  </sheetData>
  <mergeCells count="2"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5" min="3" style="1" width="16"/>
    <col collapsed="false" customWidth="true" hidden="false" outlineLevel="0" max="6" min="6" style="1" width="50"/>
  </cols>
  <sheetData>
    <row r="2" customFormat="false" ht="19.5" hidden="false" customHeight="true" outlineLevel="0" collapsed="false">
      <c r="B2" s="2" t="s">
        <v>40</v>
      </c>
      <c r="C2" s="2"/>
      <c r="D2" s="2"/>
      <c r="E2" s="2"/>
      <c r="F2" s="2"/>
    </row>
    <row r="3" customFormat="false" ht="15" hidden="false" customHeight="true" outlineLevel="0" collapsed="false">
      <c r="B3" s="3" t="s">
        <v>41</v>
      </c>
      <c r="C3" s="3"/>
      <c r="D3" s="3"/>
      <c r="E3" s="3"/>
      <c r="F3" s="3"/>
    </row>
    <row r="5" customFormat="false" ht="15" hidden="false" customHeight="true" outlineLevel="0" collapsed="false">
      <c r="B5" s="20" t="s">
        <v>42</v>
      </c>
    </row>
    <row r="6" customFormat="false" ht="15" hidden="false" customHeight="true" outlineLevel="0" collapsed="false">
      <c r="B6" s="21" t="s">
        <v>43</v>
      </c>
      <c r="C6" s="5" t="s">
        <v>44</v>
      </c>
      <c r="D6" s="5" t="s">
        <v>45</v>
      </c>
      <c r="E6" s="5" t="s">
        <v>46</v>
      </c>
      <c r="F6" s="21" t="s">
        <v>47</v>
      </c>
    </row>
    <row r="7" customFormat="false" ht="15" hidden="false" customHeight="true" outlineLevel="0" collapsed="false">
      <c r="B7" s="6" t="s">
        <v>48</v>
      </c>
      <c r="C7" s="18" t="n">
        <v>0.1</v>
      </c>
      <c r="D7" s="18" t="n">
        <v>0.2</v>
      </c>
      <c r="E7" s="18" t="n">
        <v>0.3</v>
      </c>
      <c r="F7" s="22" t="s">
        <v>49</v>
      </c>
    </row>
    <row r="8" customFormat="false" ht="15" hidden="false" customHeight="true" outlineLevel="0" collapsed="false">
      <c r="B8" s="6" t="s">
        <v>50</v>
      </c>
      <c r="C8" s="18" t="n">
        <v>0.1</v>
      </c>
      <c r="D8" s="18" t="n">
        <v>0.2</v>
      </c>
      <c r="E8" s="18" t="n">
        <v>0.3</v>
      </c>
      <c r="F8" s="22" t="s">
        <v>51</v>
      </c>
    </row>
    <row r="9" customFormat="false" ht="15" hidden="false" customHeight="true" outlineLevel="0" collapsed="false">
      <c r="B9" s="6" t="s">
        <v>52</v>
      </c>
      <c r="C9" s="23" t="n">
        <v>5</v>
      </c>
      <c r="D9" s="23" t="n">
        <v>4</v>
      </c>
      <c r="E9" s="23" t="n">
        <v>3</v>
      </c>
      <c r="F9" s="22" t="s">
        <v>53</v>
      </c>
    </row>
    <row r="10" customFormat="false" ht="15" hidden="false" customHeight="true" outlineLevel="0" collapsed="false">
      <c r="B10" s="6" t="s">
        <v>54</v>
      </c>
      <c r="C10" s="18" t="n">
        <v>0.07</v>
      </c>
      <c r="D10" s="18" t="n">
        <v>0.06</v>
      </c>
      <c r="E10" s="18" t="n">
        <v>0.05</v>
      </c>
      <c r="F10" s="22" t="s">
        <v>55</v>
      </c>
    </row>
    <row r="11" customFormat="false" ht="15" hidden="false" customHeight="true" outlineLevel="0" collapsed="false">
      <c r="B11" s="6" t="s">
        <v>56</v>
      </c>
      <c r="C11" s="23" t="n">
        <v>10</v>
      </c>
      <c r="D11" s="23" t="n">
        <v>10</v>
      </c>
      <c r="E11" s="23" t="n">
        <v>10</v>
      </c>
      <c r="F11" s="22" t="s">
        <v>57</v>
      </c>
    </row>
    <row r="12" customFormat="false" ht="15" hidden="false" customHeight="true" outlineLevel="0" collapsed="false">
      <c r="B12" s="6" t="s">
        <v>58</v>
      </c>
      <c r="C12" s="18" t="n">
        <v>0.15</v>
      </c>
      <c r="D12" s="18" t="n">
        <v>0.15</v>
      </c>
      <c r="E12" s="18" t="n">
        <v>0.15</v>
      </c>
      <c r="F12" s="22" t="s">
        <v>59</v>
      </c>
    </row>
    <row r="13" customFormat="false" ht="15" hidden="false" customHeight="true" outlineLevel="0" collapsed="false">
      <c r="B13" s="6" t="s">
        <v>60</v>
      </c>
      <c r="C13" s="18" t="n">
        <v>0.08</v>
      </c>
      <c r="D13" s="18" t="n">
        <v>0.08</v>
      </c>
      <c r="E13" s="18" t="n">
        <v>0.08</v>
      </c>
      <c r="F13" s="22" t="s">
        <v>61</v>
      </c>
    </row>
    <row r="15" customFormat="false" ht="15" hidden="false" customHeight="true" outlineLevel="0" collapsed="false">
      <c r="B15" s="24" t="s">
        <v>62</v>
      </c>
    </row>
    <row r="16" customFormat="false" ht="15" hidden="false" customHeight="true" outlineLevel="0" collapsed="false">
      <c r="B16" s="25" t="s">
        <v>63</v>
      </c>
      <c r="C16" s="26" t="n">
        <f aca="false">D7</f>
        <v>0.2</v>
      </c>
    </row>
    <row r="17" customFormat="false" ht="15" hidden="false" customHeight="true" outlineLevel="0" collapsed="false">
      <c r="B17" s="25" t="s">
        <v>64</v>
      </c>
      <c r="C17" s="26" t="n">
        <f aca="false">D8</f>
        <v>0.2</v>
      </c>
    </row>
    <row r="18" customFormat="false" ht="15" hidden="false" customHeight="true" outlineLevel="0" collapsed="false">
      <c r="B18" s="25" t="s">
        <v>65</v>
      </c>
      <c r="C18" s="27" t="n">
        <f aca="false">D9</f>
        <v>4</v>
      </c>
    </row>
    <row r="19" customFormat="false" ht="15" hidden="false" customHeight="true" outlineLevel="0" collapsed="false">
      <c r="B19" s="25" t="s">
        <v>66</v>
      </c>
      <c r="C19" s="26" t="n">
        <f aca="false">D10</f>
        <v>0.06</v>
      </c>
    </row>
    <row r="20" customFormat="false" ht="15" hidden="false" customHeight="true" outlineLevel="0" collapsed="false">
      <c r="B20" s="25" t="s">
        <v>67</v>
      </c>
      <c r="C20" s="27" t="n">
        <f aca="false">D11</f>
        <v>10</v>
      </c>
    </row>
    <row r="21" customFormat="false" ht="15" hidden="false" customHeight="true" outlineLevel="0" collapsed="false">
      <c r="B21" s="25" t="s">
        <v>68</v>
      </c>
      <c r="C21" s="26" t="n">
        <f aca="false">D12</f>
        <v>0.15</v>
      </c>
    </row>
    <row r="22" customFormat="false" ht="15" hidden="false" customHeight="true" outlineLevel="0" collapsed="false">
      <c r="B22" s="25" t="s">
        <v>69</v>
      </c>
      <c r="C22" s="26" t="n">
        <f aca="false">D13</f>
        <v>0.08</v>
      </c>
    </row>
    <row r="24" customFormat="false" ht="15" hidden="false" customHeight="true" outlineLevel="0" collapsed="false">
      <c r="B24" s="24" t="s">
        <v>70</v>
      </c>
    </row>
    <row r="25" customFormat="false" ht="27.75" hidden="false" customHeight="true" outlineLevel="0" collapsed="false">
      <c r="B25" s="5" t="s">
        <v>3</v>
      </c>
      <c r="C25" s="5" t="s">
        <v>5</v>
      </c>
      <c r="D25" s="5" t="s">
        <v>71</v>
      </c>
      <c r="E25" s="5" t="s">
        <v>72</v>
      </c>
      <c r="F25" s="5" t="s">
        <v>73</v>
      </c>
    </row>
    <row r="26" customFormat="false" ht="15" hidden="false" customHeight="true" outlineLevel="0" collapsed="false">
      <c r="B26" s="6" t="s">
        <v>13</v>
      </c>
      <c r="C26" s="16" t="n">
        <v>8</v>
      </c>
      <c r="D26" s="28" t="n">
        <f aca="false">C26*$D$12</f>
        <v>1.2</v>
      </c>
      <c r="E26" s="29" t="n">
        <v>33300</v>
      </c>
      <c r="F26" s="22" t="s">
        <v>74</v>
      </c>
    </row>
    <row r="27" customFormat="false" ht="15" hidden="false" customHeight="true" outlineLevel="0" collapsed="false">
      <c r="B27" s="6" t="s">
        <v>14</v>
      </c>
      <c r="C27" s="16" t="n">
        <v>3</v>
      </c>
      <c r="D27" s="28" t="n">
        <f aca="false">C27*$D$12</f>
        <v>0.45</v>
      </c>
      <c r="E27" s="29" t="n">
        <v>4500</v>
      </c>
      <c r="F27" s="22" t="s">
        <v>74</v>
      </c>
    </row>
    <row r="28" customFormat="false" ht="15" hidden="false" customHeight="true" outlineLevel="0" collapsed="false">
      <c r="B28" s="6" t="s">
        <v>15</v>
      </c>
      <c r="C28" s="16" t="n">
        <v>10</v>
      </c>
      <c r="D28" s="28" t="n">
        <f aca="false">C28*$D$12</f>
        <v>1.5</v>
      </c>
      <c r="E28" s="29" t="n">
        <v>35000</v>
      </c>
      <c r="F28" s="22" t="s">
        <v>74</v>
      </c>
    </row>
    <row r="29" customFormat="false" ht="15" hidden="false" customHeight="true" outlineLevel="0" collapsed="false">
      <c r="B29" s="6" t="s">
        <v>16</v>
      </c>
      <c r="C29" s="16" t="n">
        <v>5</v>
      </c>
      <c r="D29" s="28" t="n">
        <f aca="false">C29*$D$12</f>
        <v>0.75</v>
      </c>
      <c r="E29" s="29" t="n">
        <v>12000</v>
      </c>
      <c r="F29" s="22" t="s">
        <v>74</v>
      </c>
    </row>
    <row r="30" customFormat="false" ht="15" hidden="false" customHeight="true" outlineLevel="0" collapsed="false">
      <c r="B30" s="6" t="s">
        <v>17</v>
      </c>
      <c r="C30" s="16" t="n">
        <v>2.5</v>
      </c>
      <c r="D30" s="28" t="n">
        <f aca="false">C30*$D$12</f>
        <v>0.375</v>
      </c>
      <c r="E30" s="29" t="n">
        <v>4500</v>
      </c>
      <c r="F30" s="22" t="s">
        <v>74</v>
      </c>
    </row>
    <row r="31" customFormat="false" ht="15" hidden="false" customHeight="true" outlineLevel="0" collapsed="false">
      <c r="B31" s="6" t="s">
        <v>18</v>
      </c>
      <c r="C31" s="16" t="n">
        <v>2.5</v>
      </c>
      <c r="D31" s="28" t="n">
        <f aca="false">C31*$D$12</f>
        <v>0.375</v>
      </c>
      <c r="E31" s="29" t="n">
        <v>6000</v>
      </c>
      <c r="F31" s="22" t="s">
        <v>74</v>
      </c>
    </row>
    <row r="32" customFormat="false" ht="15" hidden="false" customHeight="true" outlineLevel="0" collapsed="false">
      <c r="B32" s="6" t="s">
        <v>19</v>
      </c>
      <c r="C32" s="16" t="n">
        <v>4</v>
      </c>
      <c r="D32" s="28" t="n">
        <f aca="false">C32*$D$12</f>
        <v>0.6</v>
      </c>
      <c r="E32" s="29" t="n">
        <v>3000</v>
      </c>
      <c r="F32" s="22" t="s">
        <v>74</v>
      </c>
    </row>
    <row r="33" customFormat="false" ht="15" hidden="false" customHeight="true" outlineLevel="0" collapsed="false">
      <c r="B33" s="6" t="s">
        <v>20</v>
      </c>
      <c r="C33" s="16" t="n">
        <v>1.5</v>
      </c>
      <c r="D33" s="28" t="n">
        <f aca="false">C33*$D$12</f>
        <v>0.225</v>
      </c>
      <c r="E33" s="29" t="n">
        <v>2000</v>
      </c>
      <c r="F33" s="22" t="s">
        <v>74</v>
      </c>
    </row>
    <row r="34" customFormat="false" ht="15" hidden="false" customHeight="true" outlineLevel="0" collapsed="false">
      <c r="B34" s="12" t="s">
        <v>75</v>
      </c>
      <c r="C34" s="30" t="n">
        <f aca="false">SUM(C26:C33)</f>
        <v>36.5</v>
      </c>
      <c r="D34" s="30" t="n">
        <f aca="false">SUM(D26:D33)</f>
        <v>5.475</v>
      </c>
      <c r="E34" s="30" t="n">
        <f aca="false">SUM(E26:E33)</f>
        <v>100300</v>
      </c>
      <c r="F34" s="25"/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12" min="3" style="1" width="15"/>
  </cols>
  <sheetData>
    <row r="2" customFormat="false" ht="19.5" hidden="false" customHeight="true" outlineLevel="0" collapsed="false">
      <c r="B2" s="2" t="s">
        <v>76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true" outlineLevel="0" collapsed="false">
      <c r="B3" s="3" t="s">
        <v>77</v>
      </c>
      <c r="C3" s="3"/>
      <c r="D3" s="3"/>
      <c r="E3" s="3"/>
      <c r="F3" s="3"/>
      <c r="G3" s="3"/>
      <c r="H3" s="3"/>
      <c r="I3" s="3"/>
      <c r="J3" s="3"/>
      <c r="K3" s="3"/>
      <c r="L3" s="3"/>
    </row>
    <row r="5" customFormat="false" ht="30" hidden="false" customHeight="true" outlineLevel="0" collapsed="false">
      <c r="B5" s="5" t="s">
        <v>3</v>
      </c>
      <c r="C5" s="5" t="s">
        <v>78</v>
      </c>
      <c r="D5" s="5" t="s">
        <v>79</v>
      </c>
      <c r="E5" s="5" t="s">
        <v>80</v>
      </c>
      <c r="F5" s="5" t="s">
        <v>81</v>
      </c>
      <c r="G5" s="5" t="s">
        <v>82</v>
      </c>
      <c r="H5" s="5" t="s">
        <v>83</v>
      </c>
      <c r="I5" s="5" t="s">
        <v>84</v>
      </c>
      <c r="J5" s="5" t="s">
        <v>85</v>
      </c>
      <c r="K5" s="5" t="s">
        <v>86</v>
      </c>
    </row>
    <row r="6" customFormat="false" ht="15" hidden="false" customHeight="true" outlineLevel="0" collapsed="false">
      <c r="B6" s="6" t="s">
        <v>13</v>
      </c>
      <c r="C6" s="23" t="n">
        <v>170</v>
      </c>
      <c r="D6" s="23" t="n">
        <v>165</v>
      </c>
      <c r="E6" s="23" t="n">
        <v>195</v>
      </c>
      <c r="F6" s="23" t="n">
        <v>280</v>
      </c>
      <c r="G6" s="23" t="n">
        <v>165</v>
      </c>
      <c r="I6" s="27" t="n">
        <f aca="false">AVERAGE(C6:G6)</f>
        <v>195</v>
      </c>
      <c r="J6" s="26" t="n">
        <f aca="false">I6/SUM($I$6:$I$13)</f>
        <v>0.541666666666667</v>
      </c>
      <c r="K6" s="29" t="n">
        <v>33300</v>
      </c>
      <c r="L6" s="26" t="n">
        <f aca="false">I6/K6</f>
        <v>0.00585585585585586</v>
      </c>
    </row>
    <row r="7" customFormat="false" ht="15" hidden="false" customHeight="true" outlineLevel="0" collapsed="false">
      <c r="B7" s="6" t="s">
        <v>14</v>
      </c>
      <c r="C7" s="23" t="n">
        <v>10</v>
      </c>
      <c r="D7" s="23" t="n">
        <v>15</v>
      </c>
      <c r="E7" s="23" t="n">
        <v>12</v>
      </c>
      <c r="F7" s="23" t="n">
        <v>20</v>
      </c>
      <c r="G7" s="23" t="n">
        <v>25</v>
      </c>
      <c r="I7" s="27" t="n">
        <f aca="false">AVERAGE(C7:G7)</f>
        <v>16.4</v>
      </c>
      <c r="J7" s="26" t="n">
        <f aca="false">I7/SUM($I$6:$I$13)</f>
        <v>0.0455555555555556</v>
      </c>
      <c r="K7" s="29" t="n">
        <v>4500</v>
      </c>
      <c r="L7" s="26" t="n">
        <f aca="false">I7/K7</f>
        <v>0.00364444444444444</v>
      </c>
    </row>
    <row r="8" customFormat="false" ht="15" hidden="false" customHeight="true" outlineLevel="0" collapsed="false">
      <c r="B8" s="6" t="s">
        <v>15</v>
      </c>
      <c r="C8" s="23" t="n">
        <v>80</v>
      </c>
      <c r="D8" s="23" t="n">
        <v>70</v>
      </c>
      <c r="E8" s="23" t="n">
        <v>75</v>
      </c>
      <c r="F8" s="23" t="n">
        <v>80</v>
      </c>
      <c r="G8" s="23" t="n">
        <v>76</v>
      </c>
      <c r="I8" s="27" t="n">
        <f aca="false">AVERAGE(C8:G8)</f>
        <v>76.2</v>
      </c>
      <c r="J8" s="26" t="n">
        <f aca="false">I8/SUM($I$6:$I$13)</f>
        <v>0.211666666666667</v>
      </c>
      <c r="K8" s="29" t="n">
        <v>35000</v>
      </c>
      <c r="L8" s="26" t="n">
        <f aca="false">I8/K8</f>
        <v>0.00217714285714286</v>
      </c>
    </row>
    <row r="9" customFormat="false" ht="15" hidden="false" customHeight="true" outlineLevel="0" collapsed="false">
      <c r="B9" s="6" t="s">
        <v>16</v>
      </c>
      <c r="C9" s="23" t="n">
        <v>40</v>
      </c>
      <c r="D9" s="23" t="n">
        <v>15</v>
      </c>
      <c r="E9" s="23" t="n">
        <v>10</v>
      </c>
      <c r="F9" s="23" t="n">
        <v>25</v>
      </c>
      <c r="G9" s="23" t="n">
        <v>15</v>
      </c>
      <c r="I9" s="27" t="n">
        <f aca="false">AVERAGE(C9:G9)</f>
        <v>21</v>
      </c>
      <c r="J9" s="26" t="n">
        <f aca="false">I9/SUM($I$6:$I$13)</f>
        <v>0.0583333333333333</v>
      </c>
      <c r="K9" s="29" t="n">
        <v>12000</v>
      </c>
      <c r="L9" s="26" t="n">
        <f aca="false">I9/K9</f>
        <v>0.00175</v>
      </c>
    </row>
    <row r="10" customFormat="false" ht="15" hidden="false" customHeight="true" outlineLevel="0" collapsed="false">
      <c r="B10" s="6" t="s">
        <v>17</v>
      </c>
      <c r="C10" s="23" t="n">
        <v>5</v>
      </c>
      <c r="D10" s="23" t="n">
        <v>12</v>
      </c>
      <c r="E10" s="23" t="n">
        <v>8</v>
      </c>
      <c r="F10" s="23" t="n">
        <v>10</v>
      </c>
      <c r="G10" s="23" t="n">
        <v>7</v>
      </c>
      <c r="I10" s="27" t="n">
        <f aca="false">AVERAGE(C10:G10)</f>
        <v>8.4</v>
      </c>
      <c r="J10" s="26" t="n">
        <f aca="false">I10/SUM($I$6:$I$13)</f>
        <v>0.0233333333333333</v>
      </c>
      <c r="K10" s="29" t="n">
        <v>4500</v>
      </c>
      <c r="L10" s="26" t="n">
        <f aca="false">I10/K10</f>
        <v>0.00186666666666667</v>
      </c>
    </row>
    <row r="11" customFormat="false" ht="15" hidden="false" customHeight="true" outlineLevel="0" collapsed="false">
      <c r="B11" s="6" t="s">
        <v>18</v>
      </c>
      <c r="C11" s="23" t="n">
        <v>5</v>
      </c>
      <c r="D11" s="23" t="n">
        <v>5</v>
      </c>
      <c r="E11" s="23" t="n">
        <v>95</v>
      </c>
      <c r="F11" s="23" t="n">
        <v>5</v>
      </c>
      <c r="G11" s="23" t="n">
        <v>3</v>
      </c>
      <c r="I11" s="27" t="n">
        <f aca="false">AVERAGE(C11:G11)</f>
        <v>22.6</v>
      </c>
      <c r="J11" s="26" t="n">
        <f aca="false">I11/SUM($I$6:$I$13)</f>
        <v>0.0627777777777778</v>
      </c>
      <c r="K11" s="29" t="n">
        <v>6000</v>
      </c>
      <c r="L11" s="26" t="n">
        <f aca="false">I11/K11</f>
        <v>0.00376666666666667</v>
      </c>
    </row>
    <row r="12" customFormat="false" ht="15" hidden="false" customHeight="true" outlineLevel="0" collapsed="false">
      <c r="B12" s="6" t="s">
        <v>19</v>
      </c>
      <c r="C12" s="23" t="n">
        <v>5</v>
      </c>
      <c r="D12" s="23" t="n">
        <v>8</v>
      </c>
      <c r="E12" s="23" t="n">
        <v>6</v>
      </c>
      <c r="F12" s="23" t="n">
        <v>7</v>
      </c>
      <c r="G12" s="23" t="n">
        <v>8</v>
      </c>
      <c r="I12" s="27" t="n">
        <f aca="false">AVERAGE(C12:G12)</f>
        <v>6.8</v>
      </c>
      <c r="J12" s="26" t="n">
        <f aca="false">I12/SUM($I$6:$I$13)</f>
        <v>0.0188888888888889</v>
      </c>
      <c r="K12" s="29" t="n">
        <v>3000</v>
      </c>
      <c r="L12" s="26" t="n">
        <f aca="false">I12/K12</f>
        <v>0.00226666666666667</v>
      </c>
    </row>
    <row r="13" customFormat="false" ht="15" hidden="false" customHeight="true" outlineLevel="0" collapsed="false">
      <c r="B13" s="6" t="s">
        <v>20</v>
      </c>
      <c r="C13" s="23" t="n">
        <v>15</v>
      </c>
      <c r="D13" s="23" t="n">
        <v>20</v>
      </c>
      <c r="E13" s="23" t="n">
        <v>10</v>
      </c>
      <c r="F13" s="23" t="n">
        <v>12</v>
      </c>
      <c r="G13" s="23" t="n">
        <v>11</v>
      </c>
      <c r="I13" s="27" t="n">
        <f aca="false">AVERAGE(C13:G13)</f>
        <v>13.6</v>
      </c>
      <c r="J13" s="26" t="n">
        <f aca="false">I13/SUM($I$6:$I$13)</f>
        <v>0.0377777777777778</v>
      </c>
      <c r="K13" s="29" t="n">
        <v>2000</v>
      </c>
      <c r="L13" s="26" t="n">
        <f aca="false">I13/K13</f>
        <v>0.0068</v>
      </c>
    </row>
    <row r="14" customFormat="false" ht="15" hidden="false" customHeight="true" outlineLevel="0" collapsed="false">
      <c r="B14" s="12" t="s">
        <v>75</v>
      </c>
      <c r="C14" s="31" t="n">
        <f aca="false">SUM(C6:C13)</f>
        <v>330</v>
      </c>
      <c r="D14" s="31" t="n">
        <f aca="false">SUM(D6:D13)</f>
        <v>310</v>
      </c>
      <c r="E14" s="31" t="n">
        <f aca="false">SUM(E6:E13)</f>
        <v>411</v>
      </c>
      <c r="F14" s="31" t="n">
        <f aca="false">SUM(F6:F13)</f>
        <v>439</v>
      </c>
      <c r="G14" s="31" t="n">
        <f aca="false">SUM(G6:G13)</f>
        <v>310</v>
      </c>
      <c r="H14" s="31" t="n">
        <f aca="false">SUM(H6:H13)</f>
        <v>0</v>
      </c>
      <c r="I14" s="31" t="n">
        <f aca="false">SUM(I6:I13)</f>
        <v>360</v>
      </c>
      <c r="J14" s="32" t="n">
        <f aca="false">SUM(J6:J13)</f>
        <v>1</v>
      </c>
      <c r="K14" s="33" t="n">
        <f aca="false">SUM(K6:K13)</f>
        <v>100300</v>
      </c>
      <c r="L14" s="32" t="n">
        <f aca="false">I14/K14</f>
        <v>0.00358923230309073</v>
      </c>
    </row>
    <row r="17" customFormat="false" ht="15" hidden="false" customHeight="true" outlineLevel="0" collapsed="false">
      <c r="B17" s="20" t="s">
        <v>87</v>
      </c>
    </row>
    <row r="18" customFormat="false" ht="27.75" hidden="false" customHeight="true" outlineLevel="0" collapsed="false">
      <c r="B18" s="5" t="s">
        <v>3</v>
      </c>
      <c r="C18" s="5" t="s">
        <v>78</v>
      </c>
      <c r="D18" s="5" t="s">
        <v>79</v>
      </c>
      <c r="E18" s="5" t="s">
        <v>80</v>
      </c>
      <c r="F18" s="5" t="s">
        <v>81</v>
      </c>
      <c r="G18" s="5" t="s">
        <v>82</v>
      </c>
      <c r="H18" s="5" t="s">
        <v>83</v>
      </c>
      <c r="I18" s="5" t="s">
        <v>88</v>
      </c>
    </row>
    <row r="19" customFormat="false" ht="15" hidden="false" customHeight="true" outlineLevel="0" collapsed="false">
      <c r="B19" s="6" t="s">
        <v>13</v>
      </c>
      <c r="C19" s="23" t="n">
        <v>90</v>
      </c>
      <c r="D19" s="23" t="n">
        <v>100</v>
      </c>
      <c r="E19" s="23" t="n">
        <v>100</v>
      </c>
      <c r="F19" s="23" t="n">
        <v>117</v>
      </c>
      <c r="G19" s="23" t="n">
        <v>95</v>
      </c>
      <c r="I19" s="27" t="n">
        <f aca="false">AVERAGE(C19:G19)</f>
        <v>100.4</v>
      </c>
      <c r="J19" s="26" t="n">
        <f aca="false">1-I19/I6</f>
        <v>0.485128205128205</v>
      </c>
    </row>
    <row r="20" customFormat="false" ht="15" hidden="false" customHeight="true" outlineLevel="0" collapsed="false">
      <c r="B20" s="6" t="s">
        <v>14</v>
      </c>
      <c r="C20" s="23" t="n">
        <v>3</v>
      </c>
      <c r="D20" s="23" t="n">
        <v>4</v>
      </c>
      <c r="E20" s="23" t="n">
        <v>3</v>
      </c>
      <c r="F20" s="23" t="n">
        <v>5</v>
      </c>
      <c r="G20" s="23" t="n">
        <v>6</v>
      </c>
      <c r="I20" s="27" t="n">
        <f aca="false">AVERAGE(C20:G20)</f>
        <v>4.2</v>
      </c>
      <c r="J20" s="26" t="n">
        <f aca="false">1-I20/I7</f>
        <v>0.74390243902439</v>
      </c>
    </row>
    <row r="21" customFormat="false" ht="15" hidden="false" customHeight="true" outlineLevel="0" collapsed="false">
      <c r="B21" s="6" t="s">
        <v>15</v>
      </c>
      <c r="C21" s="23" t="n">
        <v>8</v>
      </c>
      <c r="D21" s="23" t="n">
        <v>8</v>
      </c>
      <c r="E21" s="23" t="n">
        <v>7</v>
      </c>
      <c r="F21" s="23" t="n">
        <v>9</v>
      </c>
      <c r="G21" s="23" t="n">
        <v>9</v>
      </c>
      <c r="I21" s="27" t="n">
        <f aca="false">AVERAGE(C21:G21)</f>
        <v>8.2</v>
      </c>
      <c r="J21" s="26" t="n">
        <f aca="false">1-I21/I8</f>
        <v>0.89238845144357</v>
      </c>
    </row>
    <row r="22" customFormat="false" ht="15" hidden="false" customHeight="true" outlineLevel="0" collapsed="false">
      <c r="B22" s="6" t="s">
        <v>16</v>
      </c>
      <c r="C22" s="23" t="n">
        <v>15</v>
      </c>
      <c r="D22" s="23" t="n">
        <v>6</v>
      </c>
      <c r="E22" s="23" t="n">
        <v>4</v>
      </c>
      <c r="F22" s="23" t="n">
        <v>10</v>
      </c>
      <c r="G22" s="23" t="n">
        <v>6</v>
      </c>
      <c r="I22" s="27" t="n">
        <f aca="false">AVERAGE(C22:G22)</f>
        <v>8.2</v>
      </c>
      <c r="J22" s="26" t="n">
        <f aca="false">1-I22/I9</f>
        <v>0.60952380952381</v>
      </c>
    </row>
    <row r="23" customFormat="false" ht="15" hidden="false" customHeight="true" outlineLevel="0" collapsed="false">
      <c r="B23" s="6" t="s">
        <v>17</v>
      </c>
      <c r="C23" s="23" t="n">
        <v>2</v>
      </c>
      <c r="D23" s="23" t="n">
        <v>4</v>
      </c>
      <c r="E23" s="23" t="n">
        <v>3</v>
      </c>
      <c r="F23" s="23" t="n">
        <v>4</v>
      </c>
      <c r="G23" s="23" t="n">
        <v>3</v>
      </c>
      <c r="I23" s="27" t="n">
        <f aca="false">AVERAGE(C23:G23)</f>
        <v>3.2</v>
      </c>
      <c r="J23" s="26" t="n">
        <f aca="false">1-I23/I10</f>
        <v>0.619047619047619</v>
      </c>
    </row>
    <row r="24" customFormat="false" ht="15" hidden="false" customHeight="true" outlineLevel="0" collapsed="false">
      <c r="B24" s="6" t="s">
        <v>18</v>
      </c>
      <c r="C24" s="23" t="n">
        <v>1</v>
      </c>
      <c r="D24" s="23" t="n">
        <v>1</v>
      </c>
      <c r="E24" s="23" t="n">
        <v>5</v>
      </c>
      <c r="F24" s="23" t="n">
        <v>1</v>
      </c>
      <c r="G24" s="23" t="n">
        <v>1</v>
      </c>
      <c r="I24" s="27" t="n">
        <f aca="false">AVERAGE(C24:G24)</f>
        <v>1.8</v>
      </c>
      <c r="J24" s="26" t="n">
        <f aca="false">1-I24/I11</f>
        <v>0.920353982300885</v>
      </c>
    </row>
    <row r="25" customFormat="false" ht="15" hidden="false" customHeight="true" outlineLevel="0" collapsed="false">
      <c r="B25" s="6" t="s">
        <v>19</v>
      </c>
      <c r="C25" s="23" t="n">
        <v>1</v>
      </c>
      <c r="D25" s="23" t="n">
        <v>1</v>
      </c>
      <c r="E25" s="23" t="n">
        <v>1</v>
      </c>
      <c r="F25" s="23" t="n">
        <v>1</v>
      </c>
      <c r="G25" s="23" t="n">
        <v>1</v>
      </c>
      <c r="I25" s="27" t="n">
        <f aca="false">AVERAGE(C25:G25)</f>
        <v>1</v>
      </c>
      <c r="J25" s="26" t="n">
        <f aca="false">1-I25/I12</f>
        <v>0.852941176470588</v>
      </c>
    </row>
    <row r="26" customFormat="false" ht="15" hidden="false" customHeight="true" outlineLevel="0" collapsed="false">
      <c r="B26" s="6" t="s">
        <v>20</v>
      </c>
      <c r="C26" s="23" t="n">
        <v>5</v>
      </c>
      <c r="D26" s="23" t="n">
        <v>8</v>
      </c>
      <c r="E26" s="23" t="n">
        <v>4</v>
      </c>
      <c r="F26" s="23" t="n">
        <v>5</v>
      </c>
      <c r="G26" s="23" t="n">
        <v>5</v>
      </c>
      <c r="I26" s="27" t="n">
        <f aca="false">AVERAGE(C26:G26)</f>
        <v>5.4</v>
      </c>
      <c r="J26" s="26" t="n">
        <f aca="false">1-I26/I13</f>
        <v>0.602941176470588</v>
      </c>
    </row>
  </sheetData>
  <mergeCells count="2">
    <mergeCell ref="B2:L2"/>
    <mergeCell ref="B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7" min="3" style="1" width="16"/>
  </cols>
  <sheetData>
    <row r="2" customFormat="false" ht="19.5" hidden="false" customHeight="true" outlineLevel="0" collapsed="false">
      <c r="B2" s="2" t="s">
        <v>89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90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20" t="s">
        <v>42</v>
      </c>
    </row>
    <row r="6" customFormat="false" ht="15" hidden="false" customHeight="true" outlineLevel="0" collapsed="false">
      <c r="B6" s="5" t="s">
        <v>43</v>
      </c>
      <c r="C6" s="5" t="s">
        <v>44</v>
      </c>
      <c r="D6" s="5" t="s">
        <v>45</v>
      </c>
      <c r="E6" s="5" t="s">
        <v>46</v>
      </c>
    </row>
    <row r="7" customFormat="false" ht="15" hidden="false" customHeight="true" outlineLevel="0" collapsed="false">
      <c r="B7" s="6" t="s">
        <v>91</v>
      </c>
      <c r="C7" s="18" t="n">
        <v>0.1</v>
      </c>
      <c r="D7" s="18" t="n">
        <v>0.2</v>
      </c>
      <c r="E7" s="18" t="n">
        <v>0.3</v>
      </c>
    </row>
    <row r="8" customFormat="false" ht="15" hidden="false" customHeight="true" outlineLevel="0" collapsed="false">
      <c r="B8" s="6" t="s">
        <v>92</v>
      </c>
      <c r="C8" s="18" t="n">
        <v>0.1</v>
      </c>
      <c r="D8" s="18" t="n">
        <v>0.2</v>
      </c>
      <c r="E8" s="18" t="n">
        <v>0.3</v>
      </c>
    </row>
    <row r="9" customFormat="false" ht="15" hidden="false" customHeight="true" outlineLevel="0" collapsed="false">
      <c r="B9" s="6" t="s">
        <v>93</v>
      </c>
      <c r="C9" s="23" t="n">
        <v>5</v>
      </c>
      <c r="D9" s="23" t="n">
        <v>4</v>
      </c>
      <c r="E9" s="23" t="n">
        <v>3</v>
      </c>
    </row>
    <row r="10" customFormat="false" ht="15" hidden="false" customHeight="true" outlineLevel="0" collapsed="false">
      <c r="B10" s="6" t="s">
        <v>54</v>
      </c>
      <c r="C10" s="18" t="n">
        <v>0.07</v>
      </c>
      <c r="D10" s="18" t="n">
        <v>0.06</v>
      </c>
      <c r="E10" s="18" t="n">
        <v>0.05</v>
      </c>
    </row>
    <row r="11" customFormat="false" ht="15" hidden="false" customHeight="true" outlineLevel="0" collapsed="false">
      <c r="B11" s="6" t="s">
        <v>94</v>
      </c>
      <c r="C11" s="23" t="n">
        <v>10</v>
      </c>
      <c r="D11" s="23" t="n">
        <v>10</v>
      </c>
      <c r="E11" s="23" t="n">
        <v>10</v>
      </c>
    </row>
    <row r="13" customFormat="false" ht="15" hidden="false" customHeight="true" outlineLevel="0" collapsed="false">
      <c r="B13" s="20" t="s">
        <v>95</v>
      </c>
    </row>
    <row r="14" customFormat="false" ht="15" hidden="false" customHeight="true" outlineLevel="0" collapsed="false">
      <c r="B14" s="5" t="s">
        <v>96</v>
      </c>
      <c r="C14" s="5" t="s">
        <v>44</v>
      </c>
      <c r="D14" s="5" t="s">
        <v>45</v>
      </c>
      <c r="E14" s="5" t="s">
        <v>46</v>
      </c>
      <c r="F14" s="5" t="s">
        <v>97</v>
      </c>
    </row>
    <row r="15" customFormat="false" ht="15" hidden="false" customHeight="true" outlineLevel="0" collapsed="false">
      <c r="B15" s="6" t="s">
        <v>98</v>
      </c>
      <c r="C15" s="34" t="n">
        <f aca="false">'Datos Históricos'!I14</f>
        <v>360</v>
      </c>
      <c r="D15" s="34" t="n">
        <f aca="false">'Datos Históricos'!I14</f>
        <v>360</v>
      </c>
      <c r="E15" s="34" t="n">
        <f aca="false">'Datos Históricos'!I14</f>
        <v>360</v>
      </c>
      <c r="F15" s="22" t="s">
        <v>99</v>
      </c>
    </row>
    <row r="16" customFormat="false" ht="15" hidden="false" customHeight="true" outlineLevel="0" collapsed="false">
      <c r="B16" s="6" t="s">
        <v>100</v>
      </c>
      <c r="C16" s="27" t="n">
        <f aca="false">'Datos Históricos'!I14*0.08*10</f>
        <v>288</v>
      </c>
      <c r="D16" s="27" t="n">
        <f aca="false">'Datos Históricos'!I14*0.17*10</f>
        <v>612</v>
      </c>
      <c r="E16" s="27" t="n">
        <f aca="false">'Datos Históricos'!I14*0.27*10</f>
        <v>972</v>
      </c>
      <c r="F16" s="22" t="s">
        <v>99</v>
      </c>
    </row>
    <row r="17" customFormat="false" ht="15" hidden="false" customHeight="true" outlineLevel="0" collapsed="false">
      <c r="B17" s="6" t="s">
        <v>101</v>
      </c>
      <c r="C17" s="27" t="n">
        <f aca="false">'Datos Históricos'!I14*0.08*0.08*10</f>
        <v>23.04</v>
      </c>
      <c r="D17" s="27" t="n">
        <f aca="false">'Datos Históricos'!I14*0.08*0.17*10</f>
        <v>48.96</v>
      </c>
      <c r="E17" s="27" t="n">
        <f aca="false">'Datos Históricos'!I14*0.08*0.27*10</f>
        <v>77.76</v>
      </c>
      <c r="F17" s="22" t="s">
        <v>99</v>
      </c>
    </row>
    <row r="18" customFormat="false" ht="15" hidden="false" customHeight="true" outlineLevel="0" collapsed="false">
      <c r="B18" s="6" t="s">
        <v>102</v>
      </c>
      <c r="C18" s="27" t="n">
        <f aca="false">C16+C17</f>
        <v>311.04</v>
      </c>
      <c r="D18" s="27" t="n">
        <f aca="false">D16+D17</f>
        <v>660.96</v>
      </c>
      <c r="E18" s="27" t="n">
        <f aca="false">E16+E17</f>
        <v>1049.76</v>
      </c>
      <c r="F18" s="22" t="s">
        <v>99</v>
      </c>
    </row>
    <row r="19" customFormat="false" ht="15" hidden="false" customHeight="true" outlineLevel="0" collapsed="false">
      <c r="B19" s="6" t="s">
        <v>103</v>
      </c>
      <c r="C19" s="27" t="n">
        <f aca="false">SUM(Supuestos!C26:C33)*(1+0.15*10)</f>
        <v>91.25</v>
      </c>
      <c r="D19" s="27" t="n">
        <f aca="false">SUM(Supuestos!C26:C33)*(1+0.15*10)</f>
        <v>91.25</v>
      </c>
      <c r="E19" s="27" t="n">
        <f aca="false">SUM(Supuestos!C26:C33)*(1+0.15*10)</f>
        <v>91.25</v>
      </c>
      <c r="F19" s="22" t="s">
        <v>99</v>
      </c>
    </row>
    <row r="20" customFormat="false" ht="15" hidden="false" customHeight="true" outlineLevel="0" collapsed="false">
      <c r="B20" s="35" t="s">
        <v>104</v>
      </c>
      <c r="C20" s="36" t="n">
        <f aca="false">(C18-C19)/C19</f>
        <v>2.40865753424658</v>
      </c>
      <c r="D20" s="36" t="n">
        <f aca="false">(D18-D19)/D19</f>
        <v>6.24339726027397</v>
      </c>
      <c r="E20" s="36" t="n">
        <f aca="false">(E18-E19)/E19</f>
        <v>10.5042191780822</v>
      </c>
      <c r="F20" s="22" t="s">
        <v>105</v>
      </c>
    </row>
    <row r="21" customFormat="false" ht="15" hidden="false" customHeight="true" outlineLevel="0" collapsed="false">
      <c r="B21" s="35" t="s">
        <v>106</v>
      </c>
      <c r="C21" s="37" t="n">
        <f aca="false">C18/C19</f>
        <v>3.40865753424658</v>
      </c>
      <c r="D21" s="37" t="n">
        <f aca="false">D18/D19</f>
        <v>7.24339726027397</v>
      </c>
      <c r="E21" s="37" t="n">
        <f aca="false">E18/E19</f>
        <v>11.5042191780822</v>
      </c>
      <c r="F21" s="22" t="s">
        <v>107</v>
      </c>
    </row>
    <row r="22" customFormat="false" ht="15" hidden="false" customHeight="true" outlineLevel="0" collapsed="false">
      <c r="B22" s="6" t="s">
        <v>108</v>
      </c>
      <c r="C22" s="26" t="n">
        <f aca="false">C16/SUM(Supuestos!E26:E33)</f>
        <v>0.00287138584247258</v>
      </c>
      <c r="D22" s="26" t="n">
        <f aca="false">D16/SUM(Supuestos!E26:E33)</f>
        <v>0.00610169491525424</v>
      </c>
      <c r="E22" s="26" t="n">
        <f aca="false">E16/SUM(Supuestos!E26:E33)</f>
        <v>0.00969092721834497</v>
      </c>
      <c r="F22" s="22" t="s">
        <v>105</v>
      </c>
    </row>
    <row r="23" customFormat="false" ht="15" hidden="false" customHeight="true" outlineLevel="0" collapsed="false">
      <c r="B23" s="6" t="s">
        <v>109</v>
      </c>
      <c r="C23" s="16" t="n">
        <v>3.2</v>
      </c>
      <c r="D23" s="16" t="n">
        <v>1.7</v>
      </c>
      <c r="E23" s="16" t="n">
        <v>1</v>
      </c>
      <c r="F23" s="22" t="s">
        <v>110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14" min="3" style="1" width="13"/>
  </cols>
  <sheetData>
    <row r="2" customFormat="false" ht="19.5" hidden="false" customHeight="true" outlineLevel="0" collapsed="false">
      <c r="B2" s="2" t="s">
        <v>111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B3" s="3" t="s">
        <v>112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customFormat="false" ht="15" hidden="false" customHeight="true" outlineLevel="0" collapsed="false">
      <c r="B5" s="20" t="s">
        <v>113</v>
      </c>
    </row>
    <row r="6" customFormat="false" ht="41.25" hidden="false" customHeight="true" outlineLevel="0" collapsed="false">
      <c r="B6" s="5" t="s">
        <v>3</v>
      </c>
      <c r="E6" s="5" t="s">
        <v>114</v>
      </c>
    </row>
    <row r="7" customFormat="false" ht="15" hidden="false" customHeight="true" outlineLevel="0" collapsed="false">
      <c r="B7" s="6" t="s">
        <v>13</v>
      </c>
      <c r="E7" s="38" t="n">
        <v>0.17</v>
      </c>
    </row>
    <row r="8" customFormat="false" ht="15" hidden="false" customHeight="true" outlineLevel="0" collapsed="false">
      <c r="B8" s="6" t="s">
        <v>14</v>
      </c>
      <c r="E8" s="38" t="n">
        <v>0.17</v>
      </c>
    </row>
    <row r="9" customFormat="false" ht="15" hidden="false" customHeight="true" outlineLevel="0" collapsed="false">
      <c r="B9" s="6" t="s">
        <v>15</v>
      </c>
      <c r="E9" s="38" t="n">
        <v>0.17</v>
      </c>
    </row>
    <row r="10" customFormat="false" ht="15" hidden="false" customHeight="true" outlineLevel="0" collapsed="false">
      <c r="B10" s="6" t="s">
        <v>16</v>
      </c>
      <c r="E10" s="38" t="n">
        <v>0.17</v>
      </c>
    </row>
    <row r="11" customFormat="false" ht="15" hidden="false" customHeight="true" outlineLevel="0" collapsed="false">
      <c r="B11" s="6" t="s">
        <v>17</v>
      </c>
      <c r="E11" s="38" t="n">
        <v>0.17</v>
      </c>
    </row>
    <row r="12" customFormat="false" ht="15" hidden="false" customHeight="true" outlineLevel="0" collapsed="false">
      <c r="B12" s="6" t="s">
        <v>18</v>
      </c>
      <c r="E12" s="38" t="n">
        <v>0.17</v>
      </c>
    </row>
    <row r="13" customFormat="false" ht="15" hidden="false" customHeight="true" outlineLevel="0" collapsed="false">
      <c r="B13" s="6" t="s">
        <v>19</v>
      </c>
      <c r="E13" s="38" t="n">
        <v>0.17</v>
      </c>
    </row>
    <row r="14" customFormat="false" ht="15" hidden="false" customHeight="true" outlineLevel="0" collapsed="false">
      <c r="B14" s="6" t="s">
        <v>20</v>
      </c>
      <c r="E14" s="38" t="n">
        <v>0.17</v>
      </c>
    </row>
    <row r="17" customFormat="false" ht="15" hidden="false" customHeight="true" outlineLevel="0" collapsed="false">
      <c r="B17" s="20" t="s">
        <v>115</v>
      </c>
    </row>
    <row r="18" customFormat="false" ht="30" hidden="false" customHeight="true" outlineLevel="0" collapsed="false">
      <c r="B18" s="5" t="s">
        <v>116</v>
      </c>
      <c r="C18" s="5" t="s">
        <v>117</v>
      </c>
      <c r="D18" s="5" t="s">
        <v>118</v>
      </c>
      <c r="E18" s="5" t="s">
        <v>119</v>
      </c>
      <c r="F18" s="5" t="s">
        <v>120</v>
      </c>
      <c r="G18" s="5" t="s">
        <v>121</v>
      </c>
      <c r="H18" s="5" t="s">
        <v>122</v>
      </c>
      <c r="I18" s="5" t="s">
        <v>123</v>
      </c>
      <c r="J18" s="5" t="s">
        <v>124</v>
      </c>
      <c r="K18" s="5" t="s">
        <v>125</v>
      </c>
      <c r="L18" s="5" t="s">
        <v>126</v>
      </c>
      <c r="M18" s="5" t="s">
        <v>127</v>
      </c>
      <c r="N18" s="5" t="s">
        <v>128</v>
      </c>
    </row>
    <row r="19" customFormat="false" ht="15" hidden="false" customHeight="true" outlineLevel="0" collapsed="false">
      <c r="B19" s="39" t="s">
        <v>13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</row>
    <row r="20" customFormat="false" ht="15" hidden="false" customHeight="true" outlineLevel="0" collapsed="false">
      <c r="B20" s="6" t="s">
        <v>129</v>
      </c>
      <c r="C20" s="9" t="n">
        <f aca="false">'Datos Históricos'!I6*0.05</f>
        <v>9.75</v>
      </c>
      <c r="D20" s="9" t="n">
        <f aca="false">'Datos Históricos'!I6*0.1</f>
        <v>19.5</v>
      </c>
      <c r="E20" s="9" t="n">
        <f aca="false">'Datos Históricos'!I6*0.15</f>
        <v>29.25</v>
      </c>
      <c r="F20" s="9" t="n">
        <f aca="false">'Datos Históricos'!I6*0.2</f>
        <v>39</v>
      </c>
      <c r="G20" s="9" t="n">
        <f aca="false">'Datos Históricos'!I6*0.2</f>
        <v>39</v>
      </c>
      <c r="H20" s="9" t="n">
        <f aca="false">'Datos Históricos'!I6*0.2</f>
        <v>39</v>
      </c>
      <c r="I20" s="9" t="n">
        <f aca="false">'Datos Históricos'!I6*0.2</f>
        <v>39</v>
      </c>
      <c r="J20" s="9" t="n">
        <f aca="false">'Datos Históricos'!I6*0.2</f>
        <v>39</v>
      </c>
      <c r="K20" s="9" t="n">
        <f aca="false">'Datos Históricos'!I6*0.2</f>
        <v>39</v>
      </c>
      <c r="L20" s="9" t="n">
        <f aca="false">'Datos Históricos'!I6*0.2</f>
        <v>39</v>
      </c>
      <c r="M20" s="41" t="n">
        <f aca="false">SUM(C20:L20)</f>
        <v>331.5</v>
      </c>
      <c r="N20" s="9" t="n">
        <f aca="false">NPV(0.06,C20:L20)</f>
        <v>233.907836792689</v>
      </c>
    </row>
    <row r="21" customFormat="false" ht="15" hidden="false" customHeight="true" outlineLevel="0" collapsed="false">
      <c r="B21" s="6" t="s">
        <v>130</v>
      </c>
      <c r="C21" s="9" t="n">
        <f aca="false">'Datos Históricos'!I6*0.08*0.05</f>
        <v>0.78</v>
      </c>
      <c r="D21" s="9" t="n">
        <f aca="false">'Datos Históricos'!I6*0.08*0.1</f>
        <v>1.56</v>
      </c>
      <c r="E21" s="9" t="n">
        <f aca="false">'Datos Históricos'!I6*0.08*0.15</f>
        <v>2.34</v>
      </c>
      <c r="F21" s="9" t="n">
        <f aca="false">'Datos Históricos'!I6*0.08*0.2</f>
        <v>3.12</v>
      </c>
      <c r="G21" s="9" t="n">
        <f aca="false">'Datos Históricos'!I6*0.08*0.2</f>
        <v>3.12</v>
      </c>
      <c r="H21" s="9" t="n">
        <f aca="false">'Datos Históricos'!I6*0.08*0.2</f>
        <v>3.12</v>
      </c>
      <c r="I21" s="9" t="n">
        <f aca="false">'Datos Históricos'!I6*0.08*0.2</f>
        <v>3.12</v>
      </c>
      <c r="J21" s="9" t="n">
        <f aca="false">'Datos Históricos'!I6*0.08*0.2</f>
        <v>3.12</v>
      </c>
      <c r="K21" s="9" t="n">
        <f aca="false">'Datos Históricos'!I6*0.08*0.2</f>
        <v>3.12</v>
      </c>
      <c r="L21" s="9" t="n">
        <f aca="false">'Datos Históricos'!I6*0.08*0.2</f>
        <v>3.12</v>
      </c>
      <c r="M21" s="41" t="n">
        <f aca="false">SUM(C21:L21)</f>
        <v>26.52</v>
      </c>
      <c r="N21" s="9" t="n">
        <f aca="false">NPV(0.06,C21:L21)</f>
        <v>18.7126269434151</v>
      </c>
    </row>
    <row r="22" customFormat="false" ht="15" hidden="false" customHeight="true" outlineLevel="0" collapsed="false">
      <c r="B22" s="6" t="s">
        <v>131</v>
      </c>
      <c r="C22" s="9" t="n">
        <f aca="false">C20+C21</f>
        <v>10.53</v>
      </c>
      <c r="D22" s="9" t="n">
        <f aca="false">D20+D21</f>
        <v>21.06</v>
      </c>
      <c r="E22" s="9" t="n">
        <f aca="false">E20+E21</f>
        <v>31.59</v>
      </c>
      <c r="F22" s="9" t="n">
        <f aca="false">F20+F21</f>
        <v>42.12</v>
      </c>
      <c r="G22" s="9" t="n">
        <f aca="false">G20+G21</f>
        <v>42.12</v>
      </c>
      <c r="H22" s="9" t="n">
        <f aca="false">H20+H21</f>
        <v>42.12</v>
      </c>
      <c r="I22" s="9" t="n">
        <f aca="false">I20+I21</f>
        <v>42.12</v>
      </c>
      <c r="J22" s="9" t="n">
        <f aca="false">J20+J21</f>
        <v>42.12</v>
      </c>
      <c r="K22" s="9" t="n">
        <f aca="false">K20+K21</f>
        <v>42.12</v>
      </c>
      <c r="L22" s="9" t="n">
        <f aca="false">L20+L21</f>
        <v>42.12</v>
      </c>
      <c r="M22" s="41" t="n">
        <f aca="false">SUM(C22:L22)</f>
        <v>358.02</v>
      </c>
      <c r="N22" s="9" t="n">
        <f aca="false">NPV(0.06,C22:L22)</f>
        <v>252.620463736104</v>
      </c>
    </row>
    <row r="23" customFormat="false" ht="15" hidden="false" customHeight="true" outlineLevel="0" collapsed="false">
      <c r="B23" s="6" t="s">
        <v>132</v>
      </c>
      <c r="C23" s="9" t="n">
        <f aca="false">Supuestos!C26+Supuestos!C26*0.15</f>
        <v>9.2</v>
      </c>
      <c r="D23" s="9" t="n">
        <f aca="false">Supuestos!C26*0.15</f>
        <v>1.2</v>
      </c>
      <c r="E23" s="9" t="n">
        <f aca="false">Supuestos!C26*0.15</f>
        <v>1.2</v>
      </c>
      <c r="F23" s="9" t="n">
        <f aca="false">Supuestos!C26*0.15</f>
        <v>1.2</v>
      </c>
      <c r="G23" s="9" t="n">
        <f aca="false">Supuestos!C26*0.15</f>
        <v>1.2</v>
      </c>
      <c r="H23" s="9" t="n">
        <f aca="false">Supuestos!C26*0.15</f>
        <v>1.2</v>
      </c>
      <c r="I23" s="9" t="n">
        <f aca="false">Supuestos!C26*0.15</f>
        <v>1.2</v>
      </c>
      <c r="J23" s="9" t="n">
        <f aca="false">Supuestos!C26*0.15</f>
        <v>1.2</v>
      </c>
      <c r="K23" s="9" t="n">
        <f aca="false">Supuestos!C26*0.15</f>
        <v>1.2</v>
      </c>
      <c r="L23" s="9" t="n">
        <f aca="false">Supuestos!C26*0.15</f>
        <v>1.2</v>
      </c>
      <c r="M23" s="42" t="n">
        <f aca="false">SUM(C23:L23)</f>
        <v>20</v>
      </c>
      <c r="N23" s="9" t="n">
        <f aca="false">NPV(0.06,C23:L23)</f>
        <v>16.3792742730184</v>
      </c>
    </row>
    <row r="24" customFormat="false" ht="15" hidden="false" customHeight="true" outlineLevel="0" collapsed="false">
      <c r="B24" s="35" t="s">
        <v>133</v>
      </c>
      <c r="C24" s="43" t="n">
        <f aca="false">C22-C23</f>
        <v>1.33</v>
      </c>
      <c r="D24" s="43" t="n">
        <f aca="false">D22-D23</f>
        <v>19.86</v>
      </c>
      <c r="E24" s="43" t="n">
        <f aca="false">E22-E23</f>
        <v>30.39</v>
      </c>
      <c r="F24" s="43" t="n">
        <f aca="false">F22-F23</f>
        <v>40.92</v>
      </c>
      <c r="G24" s="43" t="n">
        <f aca="false">G22-G23</f>
        <v>40.92</v>
      </c>
      <c r="H24" s="43" t="n">
        <f aca="false">H22-H23</f>
        <v>40.92</v>
      </c>
      <c r="I24" s="43" t="n">
        <f aca="false">I22-I23</f>
        <v>40.92</v>
      </c>
      <c r="J24" s="43" t="n">
        <f aca="false">J22-J23</f>
        <v>40.92</v>
      </c>
      <c r="K24" s="43" t="n">
        <f aca="false">K22-K23</f>
        <v>40.92</v>
      </c>
      <c r="L24" s="43" t="n">
        <f aca="false">L22-L23</f>
        <v>40.92</v>
      </c>
      <c r="M24" s="43" t="n">
        <f aca="false">SUM(C24:L24)</f>
        <v>338.02</v>
      </c>
      <c r="N24" s="43" t="n">
        <f aca="false">NPV(0.06,C24:L24)</f>
        <v>236.241189463086</v>
      </c>
    </row>
    <row r="26" customFormat="false" ht="15" hidden="false" customHeight="true" outlineLevel="0" collapsed="false">
      <c r="B26" s="39" t="s">
        <v>14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</row>
    <row r="27" customFormat="false" ht="15" hidden="false" customHeight="true" outlineLevel="0" collapsed="false">
      <c r="B27" s="6" t="s">
        <v>129</v>
      </c>
      <c r="C27" s="9" t="n">
        <f aca="false">'Datos Históricos'!I7*0.05</f>
        <v>0.82</v>
      </c>
      <c r="D27" s="9" t="n">
        <f aca="false">'Datos Históricos'!I7*0.1</f>
        <v>1.64</v>
      </c>
      <c r="E27" s="9" t="n">
        <f aca="false">'Datos Históricos'!I7*0.15</f>
        <v>2.46</v>
      </c>
      <c r="F27" s="9" t="n">
        <f aca="false">'Datos Históricos'!I7*0.2</f>
        <v>3.28</v>
      </c>
      <c r="G27" s="9" t="n">
        <f aca="false">'Datos Históricos'!I7*0.2</f>
        <v>3.28</v>
      </c>
      <c r="H27" s="9" t="n">
        <f aca="false">'Datos Históricos'!I7*0.2</f>
        <v>3.28</v>
      </c>
      <c r="I27" s="9" t="n">
        <f aca="false">'Datos Históricos'!I7*0.2</f>
        <v>3.28</v>
      </c>
      <c r="J27" s="9" t="n">
        <f aca="false">'Datos Históricos'!I7*0.2</f>
        <v>3.28</v>
      </c>
      <c r="K27" s="9" t="n">
        <f aca="false">'Datos Históricos'!I7*0.2</f>
        <v>3.28</v>
      </c>
      <c r="L27" s="9" t="n">
        <f aca="false">'Datos Históricos'!I7*0.2</f>
        <v>3.28</v>
      </c>
      <c r="M27" s="41" t="n">
        <f aca="false">SUM(C27:L27)</f>
        <v>27.88</v>
      </c>
      <c r="N27" s="9" t="n">
        <f aca="false">NPV(0.06,C27:L27)</f>
        <v>19.6722488379492</v>
      </c>
    </row>
    <row r="28" customFormat="false" ht="15" hidden="false" customHeight="true" outlineLevel="0" collapsed="false">
      <c r="B28" s="6" t="s">
        <v>130</v>
      </c>
      <c r="C28" s="9" t="n">
        <f aca="false">'Datos Históricos'!I7*0.08*0.05</f>
        <v>0.0656</v>
      </c>
      <c r="D28" s="9" t="n">
        <f aca="false">'Datos Históricos'!I7*0.08*0.1</f>
        <v>0.1312</v>
      </c>
      <c r="E28" s="9" t="n">
        <f aca="false">'Datos Históricos'!I7*0.08*0.15</f>
        <v>0.1968</v>
      </c>
      <c r="F28" s="9" t="n">
        <f aca="false">'Datos Históricos'!I7*0.08*0.2</f>
        <v>0.2624</v>
      </c>
      <c r="G28" s="9" t="n">
        <f aca="false">'Datos Históricos'!I7*0.08*0.2</f>
        <v>0.2624</v>
      </c>
      <c r="H28" s="9" t="n">
        <f aca="false">'Datos Históricos'!I7*0.08*0.2</f>
        <v>0.2624</v>
      </c>
      <c r="I28" s="9" t="n">
        <f aca="false">'Datos Históricos'!I7*0.08*0.2</f>
        <v>0.2624</v>
      </c>
      <c r="J28" s="9" t="n">
        <f aca="false">'Datos Históricos'!I7*0.08*0.2</f>
        <v>0.2624</v>
      </c>
      <c r="K28" s="9" t="n">
        <f aca="false">'Datos Históricos'!I7*0.08*0.2</f>
        <v>0.2624</v>
      </c>
      <c r="L28" s="9" t="n">
        <f aca="false">'Datos Históricos'!I7*0.08*0.2</f>
        <v>0.2624</v>
      </c>
      <c r="M28" s="41" t="n">
        <f aca="false">SUM(C28:L28)</f>
        <v>2.2304</v>
      </c>
      <c r="N28" s="9" t="n">
        <f aca="false">NPV(0.06,C28:L28)</f>
        <v>1.57377990703594</v>
      </c>
    </row>
    <row r="29" customFormat="false" ht="15" hidden="false" customHeight="true" outlineLevel="0" collapsed="false">
      <c r="B29" s="6" t="s">
        <v>131</v>
      </c>
      <c r="C29" s="9" t="n">
        <f aca="false">C27+C28</f>
        <v>0.8856</v>
      </c>
      <c r="D29" s="9" t="n">
        <f aca="false">D27+D28</f>
        <v>1.7712</v>
      </c>
      <c r="E29" s="9" t="n">
        <f aca="false">E27+E28</f>
        <v>2.6568</v>
      </c>
      <c r="F29" s="9" t="n">
        <f aca="false">F27+F28</f>
        <v>3.5424</v>
      </c>
      <c r="G29" s="9" t="n">
        <f aca="false">G27+G28</f>
        <v>3.5424</v>
      </c>
      <c r="H29" s="9" t="n">
        <f aca="false">H27+H28</f>
        <v>3.5424</v>
      </c>
      <c r="I29" s="9" t="n">
        <f aca="false">I27+I28</f>
        <v>3.5424</v>
      </c>
      <c r="J29" s="9" t="n">
        <f aca="false">J27+J28</f>
        <v>3.5424</v>
      </c>
      <c r="K29" s="9" t="n">
        <f aca="false">K27+K28</f>
        <v>3.5424</v>
      </c>
      <c r="L29" s="9" t="n">
        <f aca="false">L27+L28</f>
        <v>3.5424</v>
      </c>
      <c r="M29" s="41" t="n">
        <f aca="false">SUM(C29:L29)</f>
        <v>30.1104</v>
      </c>
      <c r="N29" s="9" t="n">
        <f aca="false">NPV(0.06,C29:L29)</f>
        <v>21.2460287449852</v>
      </c>
    </row>
    <row r="30" customFormat="false" ht="15" hidden="false" customHeight="true" outlineLevel="0" collapsed="false">
      <c r="B30" s="6" t="s">
        <v>132</v>
      </c>
      <c r="C30" s="9" t="n">
        <f aca="false">Supuestos!C27+Supuestos!C27*0.15</f>
        <v>3.45</v>
      </c>
      <c r="D30" s="9" t="n">
        <f aca="false">Supuestos!C27*0.15</f>
        <v>0.45</v>
      </c>
      <c r="E30" s="9" t="n">
        <f aca="false">Supuestos!C27*0.15</f>
        <v>0.45</v>
      </c>
      <c r="F30" s="9" t="n">
        <f aca="false">Supuestos!C27*0.15</f>
        <v>0.45</v>
      </c>
      <c r="G30" s="9" t="n">
        <f aca="false">Supuestos!C27*0.15</f>
        <v>0.45</v>
      </c>
      <c r="H30" s="9" t="n">
        <f aca="false">Supuestos!C27*0.15</f>
        <v>0.45</v>
      </c>
      <c r="I30" s="9" t="n">
        <f aca="false">Supuestos!C27*0.15</f>
        <v>0.45</v>
      </c>
      <c r="J30" s="9" t="n">
        <f aca="false">Supuestos!C27*0.15</f>
        <v>0.45</v>
      </c>
      <c r="K30" s="9" t="n">
        <f aca="false">Supuestos!C27*0.15</f>
        <v>0.45</v>
      </c>
      <c r="L30" s="9" t="n">
        <f aca="false">Supuestos!C27*0.15</f>
        <v>0.45</v>
      </c>
      <c r="M30" s="42" t="n">
        <f aca="false">SUM(C30:L30)</f>
        <v>7.5</v>
      </c>
      <c r="N30" s="9" t="n">
        <f aca="false">NPV(0.06,C30:L30)</f>
        <v>6.1422278523819</v>
      </c>
    </row>
    <row r="31" customFormat="false" ht="15" hidden="false" customHeight="true" outlineLevel="0" collapsed="false">
      <c r="B31" s="35" t="s">
        <v>133</v>
      </c>
      <c r="C31" s="43" t="n">
        <f aca="false">C29-C30</f>
        <v>-2.5644</v>
      </c>
      <c r="D31" s="43" t="n">
        <f aca="false">D29-D30</f>
        <v>1.3212</v>
      </c>
      <c r="E31" s="43" t="n">
        <f aca="false">E29-E30</f>
        <v>2.2068</v>
      </c>
      <c r="F31" s="43" t="n">
        <f aca="false">F29-F30</f>
        <v>3.0924</v>
      </c>
      <c r="G31" s="43" t="n">
        <f aca="false">G29-G30</f>
        <v>3.0924</v>
      </c>
      <c r="H31" s="43" t="n">
        <f aca="false">H29-H30</f>
        <v>3.0924</v>
      </c>
      <c r="I31" s="43" t="n">
        <f aca="false">I29-I30</f>
        <v>3.0924</v>
      </c>
      <c r="J31" s="43" t="n">
        <f aca="false">J29-J30</f>
        <v>3.0924</v>
      </c>
      <c r="K31" s="43" t="n">
        <f aca="false">K29-K30</f>
        <v>3.0924</v>
      </c>
      <c r="L31" s="43" t="n">
        <f aca="false">L29-L30</f>
        <v>3.0924</v>
      </c>
      <c r="M31" s="43" t="n">
        <f aca="false">SUM(C31:L31)</f>
        <v>22.6104</v>
      </c>
      <c r="N31" s="43" t="n">
        <f aca="false">NPV(0.06,C31:L31)</f>
        <v>15.1038008926033</v>
      </c>
    </row>
    <row r="33" customFormat="false" ht="15" hidden="false" customHeight="true" outlineLevel="0" collapsed="false">
      <c r="B33" s="39" t="s">
        <v>15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</row>
    <row r="34" customFormat="false" ht="15" hidden="false" customHeight="true" outlineLevel="0" collapsed="false">
      <c r="B34" s="6" t="s">
        <v>129</v>
      </c>
      <c r="C34" s="9" t="n">
        <f aca="false">'Datos Históricos'!I8*0.05</f>
        <v>3.81</v>
      </c>
      <c r="D34" s="9" t="n">
        <f aca="false">'Datos Históricos'!I8*0.1</f>
        <v>7.62</v>
      </c>
      <c r="E34" s="9" t="n">
        <f aca="false">'Datos Históricos'!I8*0.15</f>
        <v>11.43</v>
      </c>
      <c r="F34" s="9" t="n">
        <f aca="false">'Datos Históricos'!I8*0.2</f>
        <v>15.24</v>
      </c>
      <c r="G34" s="9" t="n">
        <f aca="false">'Datos Históricos'!I8*0.2</f>
        <v>15.24</v>
      </c>
      <c r="H34" s="9" t="n">
        <f aca="false">'Datos Históricos'!I8*0.2</f>
        <v>15.24</v>
      </c>
      <c r="I34" s="9" t="n">
        <f aca="false">'Datos Históricos'!I8*0.2</f>
        <v>15.24</v>
      </c>
      <c r="J34" s="9" t="n">
        <f aca="false">'Datos Históricos'!I8*0.2</f>
        <v>15.24</v>
      </c>
      <c r="K34" s="9" t="n">
        <f aca="false">'Datos Históricos'!I8*0.2</f>
        <v>15.24</v>
      </c>
      <c r="L34" s="9" t="n">
        <f aca="false">'Datos Históricos'!I8*0.2</f>
        <v>15.24</v>
      </c>
      <c r="M34" s="41" t="n">
        <f aca="false">SUM(C34:L34)</f>
        <v>129.54</v>
      </c>
      <c r="N34" s="9" t="n">
        <f aca="false">NPV(0.06,C34:L34)</f>
        <v>91.4039854543739</v>
      </c>
    </row>
    <row r="35" customFormat="false" ht="15" hidden="false" customHeight="true" outlineLevel="0" collapsed="false">
      <c r="B35" s="6" t="s">
        <v>130</v>
      </c>
      <c r="C35" s="9" t="n">
        <f aca="false">'Datos Históricos'!I8*0.08*0.05</f>
        <v>0.3048</v>
      </c>
      <c r="D35" s="9" t="n">
        <f aca="false">'Datos Históricos'!I8*0.08*0.1</f>
        <v>0.6096</v>
      </c>
      <c r="E35" s="9" t="n">
        <f aca="false">'Datos Históricos'!I8*0.08*0.15</f>
        <v>0.9144</v>
      </c>
      <c r="F35" s="9" t="n">
        <f aca="false">'Datos Históricos'!I8*0.08*0.2</f>
        <v>1.2192</v>
      </c>
      <c r="G35" s="9" t="n">
        <f aca="false">'Datos Históricos'!I8*0.08*0.2</f>
        <v>1.2192</v>
      </c>
      <c r="H35" s="9" t="n">
        <f aca="false">'Datos Históricos'!I8*0.08*0.2</f>
        <v>1.2192</v>
      </c>
      <c r="I35" s="9" t="n">
        <f aca="false">'Datos Históricos'!I8*0.08*0.2</f>
        <v>1.2192</v>
      </c>
      <c r="J35" s="9" t="n">
        <f aca="false">'Datos Históricos'!I8*0.08*0.2</f>
        <v>1.2192</v>
      </c>
      <c r="K35" s="9" t="n">
        <f aca="false">'Datos Históricos'!I8*0.08*0.2</f>
        <v>1.2192</v>
      </c>
      <c r="L35" s="9" t="n">
        <f aca="false">'Datos Históricos'!I8*0.08*0.2</f>
        <v>1.2192</v>
      </c>
      <c r="M35" s="41" t="n">
        <f aca="false">SUM(C35:L35)</f>
        <v>10.3632</v>
      </c>
      <c r="N35" s="9" t="n">
        <f aca="false">NPV(0.06,C35:L35)</f>
        <v>7.31231883634991</v>
      </c>
    </row>
    <row r="36" customFormat="false" ht="15" hidden="false" customHeight="true" outlineLevel="0" collapsed="false">
      <c r="B36" s="6" t="s">
        <v>131</v>
      </c>
      <c r="C36" s="9" t="n">
        <f aca="false">C34+C35</f>
        <v>4.1148</v>
      </c>
      <c r="D36" s="9" t="n">
        <f aca="false">D34+D35</f>
        <v>8.2296</v>
      </c>
      <c r="E36" s="9" t="n">
        <f aca="false">E34+E35</f>
        <v>12.3444</v>
      </c>
      <c r="F36" s="9" t="n">
        <f aca="false">F34+F35</f>
        <v>16.4592</v>
      </c>
      <c r="G36" s="9" t="n">
        <f aca="false">G34+G35</f>
        <v>16.4592</v>
      </c>
      <c r="H36" s="9" t="n">
        <f aca="false">H34+H35</f>
        <v>16.4592</v>
      </c>
      <c r="I36" s="9" t="n">
        <f aca="false">I34+I35</f>
        <v>16.4592</v>
      </c>
      <c r="J36" s="9" t="n">
        <f aca="false">J34+J35</f>
        <v>16.4592</v>
      </c>
      <c r="K36" s="9" t="n">
        <f aca="false">K34+K35</f>
        <v>16.4592</v>
      </c>
      <c r="L36" s="9" t="n">
        <f aca="false">L34+L35</f>
        <v>16.4592</v>
      </c>
      <c r="M36" s="41" t="n">
        <f aca="false">SUM(C36:L36)</f>
        <v>139.9032</v>
      </c>
      <c r="N36" s="9" t="n">
        <f aca="false">NPV(0.06,C36:L36)</f>
        <v>98.7163042907238</v>
      </c>
    </row>
    <row r="37" customFormat="false" ht="15" hidden="false" customHeight="true" outlineLevel="0" collapsed="false">
      <c r="B37" s="6" t="s">
        <v>132</v>
      </c>
      <c r="C37" s="9" t="n">
        <f aca="false">Supuestos!C28+Supuestos!C28*0.15</f>
        <v>11.5</v>
      </c>
      <c r="D37" s="9" t="n">
        <f aca="false">Supuestos!C28*0.15</f>
        <v>1.5</v>
      </c>
      <c r="E37" s="9" t="n">
        <f aca="false">Supuestos!C28*0.15</f>
        <v>1.5</v>
      </c>
      <c r="F37" s="9" t="n">
        <f aca="false">Supuestos!C28*0.15</f>
        <v>1.5</v>
      </c>
      <c r="G37" s="9" t="n">
        <f aca="false">Supuestos!C28*0.15</f>
        <v>1.5</v>
      </c>
      <c r="H37" s="9" t="n">
        <f aca="false">Supuestos!C28*0.15</f>
        <v>1.5</v>
      </c>
      <c r="I37" s="9" t="n">
        <f aca="false">Supuestos!C28*0.15</f>
        <v>1.5</v>
      </c>
      <c r="J37" s="9" t="n">
        <f aca="false">Supuestos!C28*0.15</f>
        <v>1.5</v>
      </c>
      <c r="K37" s="9" t="n">
        <f aca="false">Supuestos!C28*0.15</f>
        <v>1.5</v>
      </c>
      <c r="L37" s="9" t="n">
        <f aca="false">Supuestos!C28*0.15</f>
        <v>1.5</v>
      </c>
      <c r="M37" s="42" t="n">
        <f aca="false">SUM(C37:L37)</f>
        <v>25</v>
      </c>
      <c r="N37" s="9" t="n">
        <f aca="false">NPV(0.06,C37:L37)</f>
        <v>20.474092841273</v>
      </c>
    </row>
    <row r="38" customFormat="false" ht="15" hidden="false" customHeight="true" outlineLevel="0" collapsed="false">
      <c r="B38" s="35" t="s">
        <v>133</v>
      </c>
      <c r="C38" s="43" t="n">
        <f aca="false">C36-C37</f>
        <v>-7.3852</v>
      </c>
      <c r="D38" s="43" t="n">
        <f aca="false">D36-D37</f>
        <v>6.7296</v>
      </c>
      <c r="E38" s="43" t="n">
        <f aca="false">E36-E37</f>
        <v>10.8444</v>
      </c>
      <c r="F38" s="43" t="n">
        <f aca="false">F36-F37</f>
        <v>14.9592</v>
      </c>
      <c r="G38" s="43" t="n">
        <f aca="false">G36-G37</f>
        <v>14.9592</v>
      </c>
      <c r="H38" s="43" t="n">
        <f aca="false">H36-H37</f>
        <v>14.9592</v>
      </c>
      <c r="I38" s="43" t="n">
        <f aca="false">I36-I37</f>
        <v>14.9592</v>
      </c>
      <c r="J38" s="43" t="n">
        <f aca="false">J36-J37</f>
        <v>14.9592</v>
      </c>
      <c r="K38" s="43" t="n">
        <f aca="false">K36-K37</f>
        <v>14.9592</v>
      </c>
      <c r="L38" s="43" t="n">
        <f aca="false">L36-L37</f>
        <v>14.9592</v>
      </c>
      <c r="M38" s="43" t="n">
        <f aca="false">SUM(C38:L38)</f>
        <v>114.9032</v>
      </c>
      <c r="N38" s="43" t="n">
        <f aca="false">NPV(0.06,C38:L38)</f>
        <v>78.2422114494508</v>
      </c>
    </row>
    <row r="40" customFormat="false" ht="15" hidden="false" customHeight="true" outlineLevel="0" collapsed="false">
      <c r="B40" s="39" t="s">
        <v>16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</row>
    <row r="41" customFormat="false" ht="15" hidden="false" customHeight="true" outlineLevel="0" collapsed="false">
      <c r="B41" s="6" t="s">
        <v>129</v>
      </c>
      <c r="C41" s="9" t="n">
        <f aca="false">'Datos Históricos'!I9*0.05</f>
        <v>1.05</v>
      </c>
      <c r="D41" s="9" t="n">
        <f aca="false">'Datos Históricos'!I9*0.1</f>
        <v>2.1</v>
      </c>
      <c r="E41" s="9" t="n">
        <f aca="false">'Datos Históricos'!I9*0.15</f>
        <v>3.15</v>
      </c>
      <c r="F41" s="9" t="n">
        <f aca="false">'Datos Históricos'!I9*0.2</f>
        <v>4.2</v>
      </c>
      <c r="G41" s="9" t="n">
        <f aca="false">'Datos Históricos'!I9*0.2</f>
        <v>4.2</v>
      </c>
      <c r="H41" s="9" t="n">
        <f aca="false">'Datos Históricos'!I9*0.2</f>
        <v>4.2</v>
      </c>
      <c r="I41" s="9" t="n">
        <f aca="false">'Datos Históricos'!I9*0.2</f>
        <v>4.2</v>
      </c>
      <c r="J41" s="9" t="n">
        <f aca="false">'Datos Históricos'!I9*0.2</f>
        <v>4.2</v>
      </c>
      <c r="K41" s="9" t="n">
        <f aca="false">'Datos Históricos'!I9*0.2</f>
        <v>4.2</v>
      </c>
      <c r="L41" s="9" t="n">
        <f aca="false">'Datos Históricos'!I9*0.2</f>
        <v>4.2</v>
      </c>
      <c r="M41" s="41" t="n">
        <f aca="false">SUM(C41:L41)</f>
        <v>35.7</v>
      </c>
      <c r="N41" s="9" t="n">
        <f aca="false">NPV(0.06,C41:L41)</f>
        <v>25.1900747315204</v>
      </c>
    </row>
    <row r="42" customFormat="false" ht="15" hidden="false" customHeight="true" outlineLevel="0" collapsed="false">
      <c r="B42" s="6" t="s">
        <v>130</v>
      </c>
      <c r="C42" s="9" t="n">
        <f aca="false">'Datos Históricos'!I9*0.08*0.05</f>
        <v>0.084</v>
      </c>
      <c r="D42" s="9" t="n">
        <f aca="false">'Datos Históricos'!I9*0.08*0.1</f>
        <v>0.168</v>
      </c>
      <c r="E42" s="9" t="n">
        <f aca="false">'Datos Históricos'!I9*0.08*0.15</f>
        <v>0.252</v>
      </c>
      <c r="F42" s="9" t="n">
        <f aca="false">'Datos Históricos'!I9*0.08*0.2</f>
        <v>0.336</v>
      </c>
      <c r="G42" s="9" t="n">
        <f aca="false">'Datos Históricos'!I9*0.08*0.2</f>
        <v>0.336</v>
      </c>
      <c r="H42" s="9" t="n">
        <f aca="false">'Datos Históricos'!I9*0.08*0.2</f>
        <v>0.336</v>
      </c>
      <c r="I42" s="9" t="n">
        <f aca="false">'Datos Históricos'!I9*0.08*0.2</f>
        <v>0.336</v>
      </c>
      <c r="J42" s="9" t="n">
        <f aca="false">'Datos Históricos'!I9*0.08*0.2</f>
        <v>0.336</v>
      </c>
      <c r="K42" s="9" t="n">
        <f aca="false">'Datos Históricos'!I9*0.08*0.2</f>
        <v>0.336</v>
      </c>
      <c r="L42" s="9" t="n">
        <f aca="false">'Datos Históricos'!I9*0.08*0.2</f>
        <v>0.336</v>
      </c>
      <c r="M42" s="41" t="n">
        <f aca="false">SUM(C42:L42)</f>
        <v>2.856</v>
      </c>
      <c r="N42" s="9" t="n">
        <f aca="false">NPV(0.06,C42:L42)</f>
        <v>2.01520597852163</v>
      </c>
    </row>
    <row r="43" customFormat="false" ht="15" hidden="false" customHeight="true" outlineLevel="0" collapsed="false">
      <c r="B43" s="6" t="s">
        <v>131</v>
      </c>
      <c r="C43" s="9" t="n">
        <f aca="false">C41+C42</f>
        <v>1.134</v>
      </c>
      <c r="D43" s="9" t="n">
        <f aca="false">D41+D42</f>
        <v>2.268</v>
      </c>
      <c r="E43" s="9" t="n">
        <f aca="false">E41+E42</f>
        <v>3.402</v>
      </c>
      <c r="F43" s="9" t="n">
        <f aca="false">F41+F42</f>
        <v>4.536</v>
      </c>
      <c r="G43" s="9" t="n">
        <f aca="false">G41+G42</f>
        <v>4.536</v>
      </c>
      <c r="H43" s="9" t="n">
        <f aca="false">H41+H42</f>
        <v>4.536</v>
      </c>
      <c r="I43" s="9" t="n">
        <f aca="false">I41+I42</f>
        <v>4.536</v>
      </c>
      <c r="J43" s="9" t="n">
        <f aca="false">J41+J42</f>
        <v>4.536</v>
      </c>
      <c r="K43" s="9" t="n">
        <f aca="false">K41+K42</f>
        <v>4.536</v>
      </c>
      <c r="L43" s="9" t="n">
        <f aca="false">L41+L42</f>
        <v>4.536</v>
      </c>
      <c r="M43" s="41" t="n">
        <f aca="false">SUM(C43:L43)</f>
        <v>38.556</v>
      </c>
      <c r="N43" s="9" t="n">
        <f aca="false">NPV(0.06,C43:L43)</f>
        <v>27.205280710042</v>
      </c>
    </row>
    <row r="44" customFormat="false" ht="15" hidden="false" customHeight="true" outlineLevel="0" collapsed="false">
      <c r="B44" s="6" t="s">
        <v>132</v>
      </c>
      <c r="C44" s="9" t="n">
        <f aca="false">Supuestos!C29+Supuestos!C29*0.15</f>
        <v>5.75</v>
      </c>
      <c r="D44" s="9" t="n">
        <f aca="false">Supuestos!C29*0.15</f>
        <v>0.75</v>
      </c>
      <c r="E44" s="9" t="n">
        <f aca="false">Supuestos!C29*0.15</f>
        <v>0.75</v>
      </c>
      <c r="F44" s="9" t="n">
        <f aca="false">Supuestos!C29*0.15</f>
        <v>0.75</v>
      </c>
      <c r="G44" s="9" t="n">
        <f aca="false">Supuestos!C29*0.15</f>
        <v>0.75</v>
      </c>
      <c r="H44" s="9" t="n">
        <f aca="false">Supuestos!C29*0.15</f>
        <v>0.75</v>
      </c>
      <c r="I44" s="9" t="n">
        <f aca="false">Supuestos!C29*0.15</f>
        <v>0.75</v>
      </c>
      <c r="J44" s="9" t="n">
        <f aca="false">Supuestos!C29*0.15</f>
        <v>0.75</v>
      </c>
      <c r="K44" s="9" t="n">
        <f aca="false">Supuestos!C29*0.15</f>
        <v>0.75</v>
      </c>
      <c r="L44" s="9" t="n">
        <f aca="false">Supuestos!C29*0.15</f>
        <v>0.75</v>
      </c>
      <c r="M44" s="42" t="n">
        <f aca="false">SUM(C44:L44)</f>
        <v>12.5</v>
      </c>
      <c r="N44" s="9" t="n">
        <f aca="false">NPV(0.06,C44:L44)</f>
        <v>10.2370464206365</v>
      </c>
    </row>
    <row r="45" customFormat="false" ht="15" hidden="false" customHeight="true" outlineLevel="0" collapsed="false">
      <c r="B45" s="35" t="s">
        <v>133</v>
      </c>
      <c r="C45" s="43" t="n">
        <f aca="false">C43-C44</f>
        <v>-4.616</v>
      </c>
      <c r="D45" s="43" t="n">
        <f aca="false">D43-D44</f>
        <v>1.518</v>
      </c>
      <c r="E45" s="43" t="n">
        <f aca="false">E43-E44</f>
        <v>2.652</v>
      </c>
      <c r="F45" s="43" t="n">
        <f aca="false">F43-F44</f>
        <v>3.786</v>
      </c>
      <c r="G45" s="43" t="n">
        <f aca="false">G43-G44</f>
        <v>3.786</v>
      </c>
      <c r="H45" s="43" t="n">
        <f aca="false">H43-H44</f>
        <v>3.786</v>
      </c>
      <c r="I45" s="43" t="n">
        <f aca="false">I43-I44</f>
        <v>3.786</v>
      </c>
      <c r="J45" s="43" t="n">
        <f aca="false">J43-J44</f>
        <v>3.786</v>
      </c>
      <c r="K45" s="43" t="n">
        <f aca="false">K43-K44</f>
        <v>3.786</v>
      </c>
      <c r="L45" s="43" t="n">
        <f aca="false">L43-L44</f>
        <v>3.786</v>
      </c>
      <c r="M45" s="43" t="n">
        <f aca="false">SUM(C45:L45)</f>
        <v>26.056</v>
      </c>
      <c r="N45" s="43" t="n">
        <f aca="false">NPV(0.06,C45:L45)</f>
        <v>16.9682342894055</v>
      </c>
    </row>
    <row r="47" customFormat="false" ht="15" hidden="false" customHeight="true" outlineLevel="0" collapsed="false">
      <c r="B47" s="39" t="s">
        <v>17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</row>
    <row r="48" customFormat="false" ht="15" hidden="false" customHeight="true" outlineLevel="0" collapsed="false">
      <c r="B48" s="6" t="s">
        <v>129</v>
      </c>
      <c r="C48" s="9" t="n">
        <f aca="false">'Datos Históricos'!I10*0.05</f>
        <v>0.42</v>
      </c>
      <c r="D48" s="9" t="n">
        <f aca="false">'Datos Históricos'!I10*0.1</f>
        <v>0.84</v>
      </c>
      <c r="E48" s="9" t="n">
        <f aca="false">'Datos Históricos'!I10*0.15</f>
        <v>1.26</v>
      </c>
      <c r="F48" s="9" t="n">
        <f aca="false">'Datos Históricos'!I10*0.2</f>
        <v>1.68</v>
      </c>
      <c r="G48" s="9" t="n">
        <f aca="false">'Datos Históricos'!I10*0.2</f>
        <v>1.68</v>
      </c>
      <c r="H48" s="9" t="n">
        <f aca="false">'Datos Históricos'!I10*0.2</f>
        <v>1.68</v>
      </c>
      <c r="I48" s="9" t="n">
        <f aca="false">'Datos Históricos'!I10*0.2</f>
        <v>1.68</v>
      </c>
      <c r="J48" s="9" t="n">
        <f aca="false">'Datos Históricos'!I10*0.2</f>
        <v>1.68</v>
      </c>
      <c r="K48" s="9" t="n">
        <f aca="false">'Datos Históricos'!I10*0.2</f>
        <v>1.68</v>
      </c>
      <c r="L48" s="9" t="n">
        <f aca="false">'Datos Históricos'!I10*0.2</f>
        <v>1.68</v>
      </c>
      <c r="M48" s="41" t="n">
        <f aca="false">SUM(C48:L48)</f>
        <v>14.28</v>
      </c>
      <c r="N48" s="9" t="n">
        <f aca="false">NPV(0.06,C48:L48)</f>
        <v>10.0760298926081</v>
      </c>
    </row>
    <row r="49" customFormat="false" ht="15" hidden="false" customHeight="true" outlineLevel="0" collapsed="false">
      <c r="B49" s="6" t="s">
        <v>130</v>
      </c>
      <c r="C49" s="9" t="n">
        <f aca="false">'Datos Históricos'!I10*0.08*0.05</f>
        <v>0.0336</v>
      </c>
      <c r="D49" s="9" t="n">
        <f aca="false">'Datos Históricos'!I10*0.08*0.1</f>
        <v>0.0672</v>
      </c>
      <c r="E49" s="9" t="n">
        <f aca="false">'Datos Históricos'!I10*0.08*0.15</f>
        <v>0.1008</v>
      </c>
      <c r="F49" s="9" t="n">
        <f aca="false">'Datos Históricos'!I10*0.08*0.2</f>
        <v>0.1344</v>
      </c>
      <c r="G49" s="9" t="n">
        <f aca="false">'Datos Históricos'!I10*0.08*0.2</f>
        <v>0.1344</v>
      </c>
      <c r="H49" s="9" t="n">
        <f aca="false">'Datos Históricos'!I10*0.08*0.2</f>
        <v>0.1344</v>
      </c>
      <c r="I49" s="9" t="n">
        <f aca="false">'Datos Históricos'!I10*0.08*0.2</f>
        <v>0.1344</v>
      </c>
      <c r="J49" s="9" t="n">
        <f aca="false">'Datos Históricos'!I10*0.08*0.2</f>
        <v>0.1344</v>
      </c>
      <c r="K49" s="9" t="n">
        <f aca="false">'Datos Históricos'!I10*0.08*0.2</f>
        <v>0.1344</v>
      </c>
      <c r="L49" s="9" t="n">
        <f aca="false">'Datos Históricos'!I10*0.08*0.2</f>
        <v>0.1344</v>
      </c>
      <c r="M49" s="41" t="n">
        <f aca="false">SUM(C49:L49)</f>
        <v>1.1424</v>
      </c>
      <c r="N49" s="9" t="n">
        <f aca="false">NPV(0.06,C49:L49)</f>
        <v>0.806082391408652</v>
      </c>
    </row>
    <row r="50" customFormat="false" ht="15" hidden="false" customHeight="true" outlineLevel="0" collapsed="false">
      <c r="B50" s="6" t="s">
        <v>131</v>
      </c>
      <c r="C50" s="9" t="n">
        <f aca="false">C48+C49</f>
        <v>0.4536</v>
      </c>
      <c r="D50" s="9" t="n">
        <f aca="false">D48+D49</f>
        <v>0.9072</v>
      </c>
      <c r="E50" s="9" t="n">
        <f aca="false">E48+E49</f>
        <v>1.3608</v>
      </c>
      <c r="F50" s="9" t="n">
        <f aca="false">F48+F49</f>
        <v>1.8144</v>
      </c>
      <c r="G50" s="9" t="n">
        <f aca="false">G48+G49</f>
        <v>1.8144</v>
      </c>
      <c r="H50" s="9" t="n">
        <f aca="false">H48+H49</f>
        <v>1.8144</v>
      </c>
      <c r="I50" s="9" t="n">
        <f aca="false">I48+I49</f>
        <v>1.8144</v>
      </c>
      <c r="J50" s="9" t="n">
        <f aca="false">J48+J49</f>
        <v>1.8144</v>
      </c>
      <c r="K50" s="9" t="n">
        <f aca="false">K48+K49</f>
        <v>1.8144</v>
      </c>
      <c r="L50" s="9" t="n">
        <f aca="false">L48+L49</f>
        <v>1.8144</v>
      </c>
      <c r="M50" s="41" t="n">
        <f aca="false">SUM(C50:L50)</f>
        <v>15.4224</v>
      </c>
      <c r="N50" s="9" t="n">
        <f aca="false">NPV(0.06,C50:L50)</f>
        <v>10.8821122840168</v>
      </c>
    </row>
    <row r="51" customFormat="false" ht="15" hidden="false" customHeight="true" outlineLevel="0" collapsed="false">
      <c r="B51" s="6" t="s">
        <v>132</v>
      </c>
      <c r="C51" s="9" t="n">
        <f aca="false">Supuestos!C30+Supuestos!C30*0.15</f>
        <v>2.875</v>
      </c>
      <c r="D51" s="9" t="n">
        <f aca="false">Supuestos!C30*0.15</f>
        <v>0.375</v>
      </c>
      <c r="E51" s="9" t="n">
        <f aca="false">Supuestos!C30*0.15</f>
        <v>0.375</v>
      </c>
      <c r="F51" s="9" t="n">
        <f aca="false">Supuestos!C30*0.15</f>
        <v>0.375</v>
      </c>
      <c r="G51" s="9" t="n">
        <f aca="false">Supuestos!C30*0.15</f>
        <v>0.375</v>
      </c>
      <c r="H51" s="9" t="n">
        <f aca="false">Supuestos!C30*0.15</f>
        <v>0.375</v>
      </c>
      <c r="I51" s="9" t="n">
        <f aca="false">Supuestos!C30*0.15</f>
        <v>0.375</v>
      </c>
      <c r="J51" s="9" t="n">
        <f aca="false">Supuestos!C30*0.15</f>
        <v>0.375</v>
      </c>
      <c r="K51" s="9" t="n">
        <f aca="false">Supuestos!C30*0.15</f>
        <v>0.375</v>
      </c>
      <c r="L51" s="9" t="n">
        <f aca="false">Supuestos!C30*0.15</f>
        <v>0.375</v>
      </c>
      <c r="M51" s="42" t="n">
        <f aca="false">SUM(C51:L51)</f>
        <v>6.25</v>
      </c>
      <c r="N51" s="9" t="n">
        <f aca="false">NPV(0.06,C51:L51)</f>
        <v>5.11852321031825</v>
      </c>
    </row>
    <row r="52" customFormat="false" ht="15" hidden="false" customHeight="true" outlineLevel="0" collapsed="false">
      <c r="B52" s="35" t="s">
        <v>133</v>
      </c>
      <c r="C52" s="43" t="n">
        <f aca="false">C50-C51</f>
        <v>-2.4214</v>
      </c>
      <c r="D52" s="43" t="n">
        <f aca="false">D50-D51</f>
        <v>0.5322</v>
      </c>
      <c r="E52" s="43" t="n">
        <f aca="false">E50-E51</f>
        <v>0.9858</v>
      </c>
      <c r="F52" s="43" t="n">
        <f aca="false">F50-F51</f>
        <v>1.4394</v>
      </c>
      <c r="G52" s="43" t="n">
        <f aca="false">G50-G51</f>
        <v>1.4394</v>
      </c>
      <c r="H52" s="43" t="n">
        <f aca="false">H50-H51</f>
        <v>1.4394</v>
      </c>
      <c r="I52" s="43" t="n">
        <f aca="false">I50-I51</f>
        <v>1.4394</v>
      </c>
      <c r="J52" s="43" t="n">
        <f aca="false">J50-J51</f>
        <v>1.4394</v>
      </c>
      <c r="K52" s="43" t="n">
        <f aca="false">K50-K51</f>
        <v>1.4394</v>
      </c>
      <c r="L52" s="43" t="n">
        <f aca="false">L50-L51</f>
        <v>1.4394</v>
      </c>
      <c r="M52" s="43" t="n">
        <f aca="false">SUM(C52:L52)</f>
        <v>9.1724</v>
      </c>
      <c r="N52" s="43" t="n">
        <f aca="false">NPV(0.06,C52:L52)</f>
        <v>5.76358907369855</v>
      </c>
    </row>
    <row r="54" customFormat="false" ht="15" hidden="false" customHeight="true" outlineLevel="0" collapsed="false">
      <c r="B54" s="39" t="s">
        <v>18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</row>
    <row r="55" customFormat="false" ht="15" hidden="false" customHeight="true" outlineLevel="0" collapsed="false">
      <c r="B55" s="6" t="s">
        <v>129</v>
      </c>
      <c r="C55" s="9" t="n">
        <f aca="false">'Datos Históricos'!I11*0.05</f>
        <v>1.13</v>
      </c>
      <c r="D55" s="9" t="n">
        <f aca="false">'Datos Históricos'!I11*0.1</f>
        <v>2.26</v>
      </c>
      <c r="E55" s="9" t="n">
        <f aca="false">'Datos Históricos'!I11*0.15</f>
        <v>3.39</v>
      </c>
      <c r="F55" s="9" t="n">
        <f aca="false">'Datos Históricos'!I11*0.2</f>
        <v>4.52</v>
      </c>
      <c r="G55" s="9" t="n">
        <f aca="false">'Datos Históricos'!I11*0.2</f>
        <v>4.52</v>
      </c>
      <c r="H55" s="9" t="n">
        <f aca="false">'Datos Históricos'!I11*0.2</f>
        <v>4.52</v>
      </c>
      <c r="I55" s="9" t="n">
        <f aca="false">'Datos Históricos'!I11*0.2</f>
        <v>4.52</v>
      </c>
      <c r="J55" s="9" t="n">
        <f aca="false">'Datos Históricos'!I11*0.2</f>
        <v>4.52</v>
      </c>
      <c r="K55" s="9" t="n">
        <f aca="false">'Datos Históricos'!I11*0.2</f>
        <v>4.52</v>
      </c>
      <c r="L55" s="9" t="n">
        <f aca="false">'Datos Históricos'!I11*0.2</f>
        <v>4.52</v>
      </c>
      <c r="M55" s="41" t="n">
        <f aca="false">SUM(C55:L55)</f>
        <v>38.42</v>
      </c>
      <c r="N55" s="9" t="n">
        <f aca="false">NPV(0.06,C55:L55)</f>
        <v>27.1093185205886</v>
      </c>
    </row>
    <row r="56" customFormat="false" ht="15" hidden="false" customHeight="true" outlineLevel="0" collapsed="false">
      <c r="B56" s="6" t="s">
        <v>130</v>
      </c>
      <c r="C56" s="9" t="n">
        <f aca="false">'Datos Históricos'!I11*0.08*0.05</f>
        <v>0.0904</v>
      </c>
      <c r="D56" s="9" t="n">
        <f aca="false">'Datos Históricos'!I11*0.08*0.1</f>
        <v>0.1808</v>
      </c>
      <c r="E56" s="9" t="n">
        <f aca="false">'Datos Históricos'!I11*0.08*0.15</f>
        <v>0.2712</v>
      </c>
      <c r="F56" s="9" t="n">
        <f aca="false">'Datos Históricos'!I11*0.08*0.2</f>
        <v>0.3616</v>
      </c>
      <c r="G56" s="9" t="n">
        <f aca="false">'Datos Históricos'!I11*0.08*0.2</f>
        <v>0.3616</v>
      </c>
      <c r="H56" s="9" t="n">
        <f aca="false">'Datos Históricos'!I11*0.08*0.2</f>
        <v>0.3616</v>
      </c>
      <c r="I56" s="9" t="n">
        <f aca="false">'Datos Históricos'!I11*0.08*0.2</f>
        <v>0.3616</v>
      </c>
      <c r="J56" s="9" t="n">
        <f aca="false">'Datos Históricos'!I11*0.08*0.2</f>
        <v>0.3616</v>
      </c>
      <c r="K56" s="9" t="n">
        <f aca="false">'Datos Históricos'!I11*0.08*0.2</f>
        <v>0.3616</v>
      </c>
      <c r="L56" s="9" t="n">
        <f aca="false">'Datos Históricos'!I11*0.08*0.2</f>
        <v>0.3616</v>
      </c>
      <c r="M56" s="41" t="n">
        <f aca="false">SUM(C56:L56)</f>
        <v>3.0736</v>
      </c>
      <c r="N56" s="9" t="n">
        <f aca="false">NPV(0.06,C56:L56)</f>
        <v>2.16874548164709</v>
      </c>
    </row>
    <row r="57" customFormat="false" ht="15" hidden="false" customHeight="true" outlineLevel="0" collapsed="false">
      <c r="B57" s="6" t="s">
        <v>131</v>
      </c>
      <c r="C57" s="9" t="n">
        <f aca="false">C55+C56</f>
        <v>1.2204</v>
      </c>
      <c r="D57" s="9" t="n">
        <f aca="false">D55+D56</f>
        <v>2.4408</v>
      </c>
      <c r="E57" s="9" t="n">
        <f aca="false">E55+E56</f>
        <v>3.6612</v>
      </c>
      <c r="F57" s="9" t="n">
        <f aca="false">F55+F56</f>
        <v>4.8816</v>
      </c>
      <c r="G57" s="9" t="n">
        <f aca="false">G55+G56</f>
        <v>4.8816</v>
      </c>
      <c r="H57" s="9" t="n">
        <f aca="false">H55+H56</f>
        <v>4.8816</v>
      </c>
      <c r="I57" s="9" t="n">
        <f aca="false">I55+I56</f>
        <v>4.8816</v>
      </c>
      <c r="J57" s="9" t="n">
        <f aca="false">J55+J56</f>
        <v>4.8816</v>
      </c>
      <c r="K57" s="9" t="n">
        <f aca="false">K55+K56</f>
        <v>4.8816</v>
      </c>
      <c r="L57" s="9" t="n">
        <f aca="false">L55+L56</f>
        <v>4.8816</v>
      </c>
      <c r="M57" s="41" t="n">
        <f aca="false">SUM(C57:L57)</f>
        <v>41.4936</v>
      </c>
      <c r="N57" s="9" t="n">
        <f aca="false">NPV(0.06,C57:L57)</f>
        <v>29.2780640022357</v>
      </c>
    </row>
    <row r="58" customFormat="false" ht="15" hidden="false" customHeight="true" outlineLevel="0" collapsed="false">
      <c r="B58" s="6" t="s">
        <v>132</v>
      </c>
      <c r="C58" s="9" t="n">
        <f aca="false">Supuestos!C31+Supuestos!C31*0.15</f>
        <v>2.875</v>
      </c>
      <c r="D58" s="9" t="n">
        <f aca="false">Supuestos!C31*0.15</f>
        <v>0.375</v>
      </c>
      <c r="E58" s="9" t="n">
        <f aca="false">Supuestos!C31*0.15</f>
        <v>0.375</v>
      </c>
      <c r="F58" s="9" t="n">
        <f aca="false">Supuestos!C31*0.15</f>
        <v>0.375</v>
      </c>
      <c r="G58" s="9" t="n">
        <f aca="false">Supuestos!C31*0.15</f>
        <v>0.375</v>
      </c>
      <c r="H58" s="9" t="n">
        <f aca="false">Supuestos!C31*0.15</f>
        <v>0.375</v>
      </c>
      <c r="I58" s="9" t="n">
        <f aca="false">Supuestos!C31*0.15</f>
        <v>0.375</v>
      </c>
      <c r="J58" s="9" t="n">
        <f aca="false">Supuestos!C31*0.15</f>
        <v>0.375</v>
      </c>
      <c r="K58" s="9" t="n">
        <f aca="false">Supuestos!C31*0.15</f>
        <v>0.375</v>
      </c>
      <c r="L58" s="9" t="n">
        <f aca="false">Supuestos!C31*0.15</f>
        <v>0.375</v>
      </c>
      <c r="M58" s="42" t="n">
        <f aca="false">SUM(C58:L58)</f>
        <v>6.25</v>
      </c>
      <c r="N58" s="9" t="n">
        <f aca="false">NPV(0.06,C58:L58)</f>
        <v>5.11852321031825</v>
      </c>
    </row>
    <row r="59" customFormat="false" ht="15" hidden="false" customHeight="true" outlineLevel="0" collapsed="false">
      <c r="B59" s="35" t="s">
        <v>133</v>
      </c>
      <c r="C59" s="43" t="n">
        <f aca="false">C57-C58</f>
        <v>-1.6546</v>
      </c>
      <c r="D59" s="43" t="n">
        <f aca="false">D57-D58</f>
        <v>2.0658</v>
      </c>
      <c r="E59" s="43" t="n">
        <f aca="false">E57-E58</f>
        <v>3.2862</v>
      </c>
      <c r="F59" s="43" t="n">
        <f aca="false">F57-F58</f>
        <v>4.5066</v>
      </c>
      <c r="G59" s="43" t="n">
        <f aca="false">G57-G58</f>
        <v>4.5066</v>
      </c>
      <c r="H59" s="43" t="n">
        <f aca="false">H57-H58</f>
        <v>4.5066</v>
      </c>
      <c r="I59" s="43" t="n">
        <f aca="false">I57-I58</f>
        <v>4.5066</v>
      </c>
      <c r="J59" s="43" t="n">
        <f aca="false">J57-J58</f>
        <v>4.5066</v>
      </c>
      <c r="K59" s="43" t="n">
        <f aca="false">K57-K58</f>
        <v>4.5066</v>
      </c>
      <c r="L59" s="43" t="n">
        <f aca="false">L57-L58</f>
        <v>4.5066</v>
      </c>
      <c r="M59" s="43" t="n">
        <f aca="false">SUM(C59:L59)</f>
        <v>35.2436</v>
      </c>
      <c r="N59" s="43" t="n">
        <f aca="false">NPV(0.06,C59:L59)</f>
        <v>24.1595407919174</v>
      </c>
    </row>
    <row r="61" customFormat="false" ht="15" hidden="false" customHeight="true" outlineLevel="0" collapsed="false">
      <c r="B61" s="39" t="s">
        <v>19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</row>
    <row r="62" customFormat="false" ht="15" hidden="false" customHeight="true" outlineLevel="0" collapsed="false">
      <c r="B62" s="6" t="s">
        <v>129</v>
      </c>
      <c r="C62" s="9" t="n">
        <f aca="false">'Datos Históricos'!I12*0.05</f>
        <v>0.34</v>
      </c>
      <c r="D62" s="9" t="n">
        <f aca="false">'Datos Históricos'!I12*0.1</f>
        <v>0.68</v>
      </c>
      <c r="E62" s="9" t="n">
        <f aca="false">'Datos Históricos'!I12*0.15</f>
        <v>1.02</v>
      </c>
      <c r="F62" s="9" t="n">
        <f aca="false">'Datos Históricos'!I12*0.2</f>
        <v>1.36</v>
      </c>
      <c r="G62" s="9" t="n">
        <f aca="false">'Datos Históricos'!I12*0.2</f>
        <v>1.36</v>
      </c>
      <c r="H62" s="9" t="n">
        <f aca="false">'Datos Históricos'!I12*0.2</f>
        <v>1.36</v>
      </c>
      <c r="I62" s="9" t="n">
        <f aca="false">'Datos Históricos'!I12*0.2</f>
        <v>1.36</v>
      </c>
      <c r="J62" s="9" t="n">
        <f aca="false">'Datos Históricos'!I12*0.2</f>
        <v>1.36</v>
      </c>
      <c r="K62" s="9" t="n">
        <f aca="false">'Datos Históricos'!I12*0.2</f>
        <v>1.36</v>
      </c>
      <c r="L62" s="9" t="n">
        <f aca="false">'Datos Históricos'!I12*0.2</f>
        <v>1.36</v>
      </c>
      <c r="M62" s="41" t="n">
        <f aca="false">SUM(C62:L62)</f>
        <v>11.56</v>
      </c>
      <c r="N62" s="9" t="n">
        <f aca="false">NPV(0.06,C62:L62)</f>
        <v>8.15678610353992</v>
      </c>
    </row>
    <row r="63" customFormat="false" ht="15" hidden="false" customHeight="true" outlineLevel="0" collapsed="false">
      <c r="B63" s="6" t="s">
        <v>130</v>
      </c>
      <c r="C63" s="9" t="n">
        <f aca="false">'Datos Históricos'!I12*0.08*0.05</f>
        <v>0.0272</v>
      </c>
      <c r="D63" s="9" t="n">
        <f aca="false">'Datos Históricos'!I12*0.08*0.1</f>
        <v>0.0544</v>
      </c>
      <c r="E63" s="9" t="n">
        <f aca="false">'Datos Históricos'!I12*0.08*0.15</f>
        <v>0.0816</v>
      </c>
      <c r="F63" s="9" t="n">
        <f aca="false">'Datos Históricos'!I12*0.08*0.2</f>
        <v>0.1088</v>
      </c>
      <c r="G63" s="9" t="n">
        <f aca="false">'Datos Históricos'!I12*0.08*0.2</f>
        <v>0.1088</v>
      </c>
      <c r="H63" s="9" t="n">
        <f aca="false">'Datos Históricos'!I12*0.08*0.2</f>
        <v>0.1088</v>
      </c>
      <c r="I63" s="9" t="n">
        <f aca="false">'Datos Históricos'!I12*0.08*0.2</f>
        <v>0.1088</v>
      </c>
      <c r="J63" s="9" t="n">
        <f aca="false">'Datos Históricos'!I12*0.08*0.2</f>
        <v>0.1088</v>
      </c>
      <c r="K63" s="9" t="n">
        <f aca="false">'Datos Históricos'!I12*0.08*0.2</f>
        <v>0.1088</v>
      </c>
      <c r="L63" s="9" t="n">
        <f aca="false">'Datos Históricos'!I12*0.08*0.2</f>
        <v>0.1088</v>
      </c>
      <c r="M63" s="41" t="n">
        <f aca="false">SUM(C63:L63)</f>
        <v>0.9248</v>
      </c>
      <c r="N63" s="9" t="n">
        <f aca="false">NPV(0.06,C63:L63)</f>
        <v>0.652542888283194</v>
      </c>
    </row>
    <row r="64" customFormat="false" ht="15" hidden="false" customHeight="true" outlineLevel="0" collapsed="false">
      <c r="B64" s="6" t="s">
        <v>131</v>
      </c>
      <c r="C64" s="9" t="n">
        <f aca="false">C62+C63</f>
        <v>0.3672</v>
      </c>
      <c r="D64" s="9" t="n">
        <f aca="false">D62+D63</f>
        <v>0.7344</v>
      </c>
      <c r="E64" s="9" t="n">
        <f aca="false">E62+E63</f>
        <v>1.1016</v>
      </c>
      <c r="F64" s="9" t="n">
        <f aca="false">F62+F63</f>
        <v>1.4688</v>
      </c>
      <c r="G64" s="9" t="n">
        <f aca="false">G62+G63</f>
        <v>1.4688</v>
      </c>
      <c r="H64" s="9" t="n">
        <f aca="false">H62+H63</f>
        <v>1.4688</v>
      </c>
      <c r="I64" s="9" t="n">
        <f aca="false">I62+I63</f>
        <v>1.4688</v>
      </c>
      <c r="J64" s="9" t="n">
        <f aca="false">J62+J63</f>
        <v>1.4688</v>
      </c>
      <c r="K64" s="9" t="n">
        <f aca="false">K62+K63</f>
        <v>1.4688</v>
      </c>
      <c r="L64" s="9" t="n">
        <f aca="false">L62+L63</f>
        <v>1.4688</v>
      </c>
      <c r="M64" s="41" t="n">
        <f aca="false">SUM(C64:L64)</f>
        <v>12.4848</v>
      </c>
      <c r="N64" s="9" t="n">
        <f aca="false">NPV(0.06,C64:L64)</f>
        <v>8.80932899182312</v>
      </c>
    </row>
    <row r="65" customFormat="false" ht="15" hidden="false" customHeight="true" outlineLevel="0" collapsed="false">
      <c r="B65" s="6" t="s">
        <v>132</v>
      </c>
      <c r="C65" s="9" t="n">
        <f aca="false">Supuestos!C32+Supuestos!C32*0.15</f>
        <v>4.6</v>
      </c>
      <c r="D65" s="9" t="n">
        <f aca="false">Supuestos!C32*0.15</f>
        <v>0.6</v>
      </c>
      <c r="E65" s="9" t="n">
        <f aca="false">Supuestos!C32*0.15</f>
        <v>0.6</v>
      </c>
      <c r="F65" s="9" t="n">
        <f aca="false">Supuestos!C32*0.15</f>
        <v>0.6</v>
      </c>
      <c r="G65" s="9" t="n">
        <f aca="false">Supuestos!C32*0.15</f>
        <v>0.6</v>
      </c>
      <c r="H65" s="9" t="n">
        <f aca="false">Supuestos!C32*0.15</f>
        <v>0.6</v>
      </c>
      <c r="I65" s="9" t="n">
        <f aca="false">Supuestos!C32*0.15</f>
        <v>0.6</v>
      </c>
      <c r="J65" s="9" t="n">
        <f aca="false">Supuestos!C32*0.15</f>
        <v>0.6</v>
      </c>
      <c r="K65" s="9" t="n">
        <f aca="false">Supuestos!C32*0.15</f>
        <v>0.6</v>
      </c>
      <c r="L65" s="9" t="n">
        <f aca="false">Supuestos!C32*0.15</f>
        <v>0.6</v>
      </c>
      <c r="M65" s="42" t="n">
        <f aca="false">SUM(C65:L65)</f>
        <v>10</v>
      </c>
      <c r="N65" s="9" t="n">
        <f aca="false">NPV(0.06,C65:L65)</f>
        <v>8.18963713650919</v>
      </c>
    </row>
    <row r="66" customFormat="false" ht="15" hidden="false" customHeight="true" outlineLevel="0" collapsed="false">
      <c r="B66" s="35" t="s">
        <v>133</v>
      </c>
      <c r="C66" s="43" t="n">
        <f aca="false">C64-C65</f>
        <v>-4.2328</v>
      </c>
      <c r="D66" s="43" t="n">
        <f aca="false">D64-D65</f>
        <v>0.1344</v>
      </c>
      <c r="E66" s="43" t="n">
        <f aca="false">E64-E65</f>
        <v>0.5016</v>
      </c>
      <c r="F66" s="43" t="n">
        <f aca="false">F64-F65</f>
        <v>0.8688</v>
      </c>
      <c r="G66" s="43" t="n">
        <f aca="false">G64-G65</f>
        <v>0.8688</v>
      </c>
      <c r="H66" s="43" t="n">
        <f aca="false">H64-H65</f>
        <v>0.8688</v>
      </c>
      <c r="I66" s="43" t="n">
        <f aca="false">I64-I65</f>
        <v>0.8688</v>
      </c>
      <c r="J66" s="43" t="n">
        <f aca="false">J64-J65</f>
        <v>0.8688</v>
      </c>
      <c r="K66" s="43" t="n">
        <f aca="false">K64-K65</f>
        <v>0.8688</v>
      </c>
      <c r="L66" s="43" t="n">
        <f aca="false">L64-L65</f>
        <v>0.8688</v>
      </c>
      <c r="M66" s="43" t="n">
        <f aca="false">SUM(C66:L66)</f>
        <v>2.4848</v>
      </c>
      <c r="N66" s="43" t="n">
        <f aca="false">NPV(0.06,C66:L66)</f>
        <v>0.619691855313925</v>
      </c>
    </row>
    <row r="68" customFormat="false" ht="15" hidden="false" customHeight="true" outlineLevel="0" collapsed="false">
      <c r="B68" s="39" t="s">
        <v>20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</row>
    <row r="69" customFormat="false" ht="15" hidden="false" customHeight="true" outlineLevel="0" collapsed="false">
      <c r="B69" s="6" t="s">
        <v>129</v>
      </c>
      <c r="C69" s="9" t="n">
        <f aca="false">'Datos Históricos'!I13*0.05</f>
        <v>0.68</v>
      </c>
      <c r="D69" s="9" t="n">
        <f aca="false">'Datos Históricos'!I13*0.1</f>
        <v>1.36</v>
      </c>
      <c r="E69" s="9" t="n">
        <f aca="false">'Datos Históricos'!I13*0.15</f>
        <v>2.04</v>
      </c>
      <c r="F69" s="9" t="n">
        <f aca="false">'Datos Históricos'!I13*0.2</f>
        <v>2.72</v>
      </c>
      <c r="G69" s="9" t="n">
        <f aca="false">'Datos Históricos'!I13*0.2</f>
        <v>2.72</v>
      </c>
      <c r="H69" s="9" t="n">
        <f aca="false">'Datos Históricos'!I13*0.2</f>
        <v>2.72</v>
      </c>
      <c r="I69" s="9" t="n">
        <f aca="false">'Datos Históricos'!I13*0.2</f>
        <v>2.72</v>
      </c>
      <c r="J69" s="9" t="n">
        <f aca="false">'Datos Históricos'!I13*0.2</f>
        <v>2.72</v>
      </c>
      <c r="K69" s="9" t="n">
        <f aca="false">'Datos Históricos'!I13*0.2</f>
        <v>2.72</v>
      </c>
      <c r="L69" s="9" t="n">
        <f aca="false">'Datos Históricos'!I13*0.2</f>
        <v>2.72</v>
      </c>
      <c r="M69" s="41" t="n">
        <f aca="false">SUM(C69:L69)</f>
        <v>23.12</v>
      </c>
      <c r="N69" s="9" t="n">
        <f aca="false">NPV(0.06,C69:L69)</f>
        <v>16.3135722070798</v>
      </c>
    </row>
    <row r="70" customFormat="false" ht="15" hidden="false" customHeight="true" outlineLevel="0" collapsed="false">
      <c r="B70" s="6" t="s">
        <v>130</v>
      </c>
      <c r="C70" s="9" t="n">
        <f aca="false">'Datos Históricos'!I13*0.08*0.05</f>
        <v>0.0544</v>
      </c>
      <c r="D70" s="9" t="n">
        <f aca="false">'Datos Históricos'!I13*0.08*0.1</f>
        <v>0.1088</v>
      </c>
      <c r="E70" s="9" t="n">
        <f aca="false">'Datos Históricos'!I13*0.08*0.15</f>
        <v>0.1632</v>
      </c>
      <c r="F70" s="9" t="n">
        <f aca="false">'Datos Históricos'!I13*0.08*0.2</f>
        <v>0.2176</v>
      </c>
      <c r="G70" s="9" t="n">
        <f aca="false">'Datos Históricos'!I13*0.08*0.2</f>
        <v>0.2176</v>
      </c>
      <c r="H70" s="9" t="n">
        <f aca="false">'Datos Históricos'!I13*0.08*0.2</f>
        <v>0.2176</v>
      </c>
      <c r="I70" s="9" t="n">
        <f aca="false">'Datos Históricos'!I13*0.08*0.2</f>
        <v>0.2176</v>
      </c>
      <c r="J70" s="9" t="n">
        <f aca="false">'Datos Históricos'!I13*0.08*0.2</f>
        <v>0.2176</v>
      </c>
      <c r="K70" s="9" t="n">
        <f aca="false">'Datos Históricos'!I13*0.08*0.2</f>
        <v>0.2176</v>
      </c>
      <c r="L70" s="9" t="n">
        <f aca="false">'Datos Históricos'!I13*0.08*0.2</f>
        <v>0.2176</v>
      </c>
      <c r="M70" s="41" t="n">
        <f aca="false">SUM(C70:L70)</f>
        <v>1.8496</v>
      </c>
      <c r="N70" s="9" t="n">
        <f aca="false">NPV(0.06,C70:L70)</f>
        <v>1.30508577656639</v>
      </c>
    </row>
    <row r="71" customFormat="false" ht="15" hidden="false" customHeight="true" outlineLevel="0" collapsed="false">
      <c r="B71" s="6" t="s">
        <v>131</v>
      </c>
      <c r="C71" s="9" t="n">
        <f aca="false">C69+C70</f>
        <v>0.7344</v>
      </c>
      <c r="D71" s="9" t="n">
        <f aca="false">D69+D70</f>
        <v>1.4688</v>
      </c>
      <c r="E71" s="9" t="n">
        <f aca="false">E69+E70</f>
        <v>2.2032</v>
      </c>
      <c r="F71" s="9" t="n">
        <f aca="false">F69+F70</f>
        <v>2.9376</v>
      </c>
      <c r="G71" s="9" t="n">
        <f aca="false">G69+G70</f>
        <v>2.9376</v>
      </c>
      <c r="H71" s="9" t="n">
        <f aca="false">H69+H70</f>
        <v>2.9376</v>
      </c>
      <c r="I71" s="9" t="n">
        <f aca="false">I69+I70</f>
        <v>2.9376</v>
      </c>
      <c r="J71" s="9" t="n">
        <f aca="false">J69+J70</f>
        <v>2.9376</v>
      </c>
      <c r="K71" s="9" t="n">
        <f aca="false">K69+K70</f>
        <v>2.9376</v>
      </c>
      <c r="L71" s="9" t="n">
        <f aca="false">L69+L70</f>
        <v>2.9376</v>
      </c>
      <c r="M71" s="41" t="n">
        <f aca="false">SUM(C71:L71)</f>
        <v>24.9696</v>
      </c>
      <c r="N71" s="9" t="n">
        <f aca="false">NPV(0.06,C71:L71)</f>
        <v>17.6186579836462</v>
      </c>
    </row>
    <row r="72" customFormat="false" ht="15" hidden="false" customHeight="true" outlineLevel="0" collapsed="false">
      <c r="B72" s="6" t="s">
        <v>132</v>
      </c>
      <c r="C72" s="9" t="n">
        <f aca="false">Supuestos!C33+Supuestos!C33*0.15</f>
        <v>1.725</v>
      </c>
      <c r="D72" s="9" t="n">
        <f aca="false">Supuestos!C33*0.15</f>
        <v>0.225</v>
      </c>
      <c r="E72" s="9" t="n">
        <f aca="false">Supuestos!C33*0.15</f>
        <v>0.225</v>
      </c>
      <c r="F72" s="9" t="n">
        <f aca="false">Supuestos!C33*0.15</f>
        <v>0.225</v>
      </c>
      <c r="G72" s="9" t="n">
        <f aca="false">Supuestos!C33*0.15</f>
        <v>0.225</v>
      </c>
      <c r="H72" s="9" t="n">
        <f aca="false">Supuestos!C33*0.15</f>
        <v>0.225</v>
      </c>
      <c r="I72" s="9" t="n">
        <f aca="false">Supuestos!C33*0.15</f>
        <v>0.225</v>
      </c>
      <c r="J72" s="9" t="n">
        <f aca="false">Supuestos!C33*0.15</f>
        <v>0.225</v>
      </c>
      <c r="K72" s="9" t="n">
        <f aca="false">Supuestos!C33*0.15</f>
        <v>0.225</v>
      </c>
      <c r="L72" s="9" t="n">
        <f aca="false">Supuestos!C33*0.15</f>
        <v>0.225</v>
      </c>
      <c r="M72" s="42" t="n">
        <f aca="false">SUM(C72:L72)</f>
        <v>3.75</v>
      </c>
      <c r="N72" s="9" t="n">
        <f aca="false">NPV(0.06,C72:L72)</f>
        <v>3.07111392619095</v>
      </c>
    </row>
    <row r="73" customFormat="false" ht="15" hidden="false" customHeight="true" outlineLevel="0" collapsed="false">
      <c r="B73" s="35" t="s">
        <v>133</v>
      </c>
      <c r="C73" s="43" t="n">
        <f aca="false">C71-C72</f>
        <v>-0.9906</v>
      </c>
      <c r="D73" s="43" t="n">
        <f aca="false">D71-D72</f>
        <v>1.2438</v>
      </c>
      <c r="E73" s="43" t="n">
        <f aca="false">E71-E72</f>
        <v>1.9782</v>
      </c>
      <c r="F73" s="43" t="n">
        <f aca="false">F71-F72</f>
        <v>2.7126</v>
      </c>
      <c r="G73" s="43" t="n">
        <f aca="false">G71-G72</f>
        <v>2.7126</v>
      </c>
      <c r="H73" s="43" t="n">
        <f aca="false">H71-H72</f>
        <v>2.7126</v>
      </c>
      <c r="I73" s="43" t="n">
        <f aca="false">I71-I72</f>
        <v>2.7126</v>
      </c>
      <c r="J73" s="43" t="n">
        <f aca="false">J71-J72</f>
        <v>2.7126</v>
      </c>
      <c r="K73" s="43" t="n">
        <f aca="false">K71-K72</f>
        <v>2.7126</v>
      </c>
      <c r="L73" s="43" t="n">
        <f aca="false">L71-L72</f>
        <v>2.7126</v>
      </c>
      <c r="M73" s="43" t="n">
        <f aca="false">SUM(C73:L73)</f>
        <v>21.2196</v>
      </c>
      <c r="N73" s="43" t="n">
        <f aca="false">NPV(0.06,C73:L73)</f>
        <v>14.5475440574553</v>
      </c>
    </row>
  </sheetData>
  <mergeCells count="2">
    <mergeCell ref="B2:N2"/>
    <mergeCell ref="B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85"/>
  </cols>
  <sheetData>
    <row r="2" customFormat="false" ht="19.5" hidden="false" customHeight="true" outlineLevel="0" collapsed="false">
      <c r="B2" s="2" t="s">
        <v>134</v>
      </c>
      <c r="C2" s="2"/>
    </row>
    <row r="4" customFormat="false" ht="15" hidden="false" customHeight="true" outlineLevel="0" collapsed="false">
      <c r="B4" s="24" t="s">
        <v>135</v>
      </c>
    </row>
    <row r="5" customFormat="false" ht="45" hidden="false" customHeight="true" outlineLevel="0" collapsed="false">
      <c r="B5" s="44" t="s">
        <v>136</v>
      </c>
      <c r="C5" s="45" t="s">
        <v>137</v>
      </c>
    </row>
    <row r="6" customFormat="false" ht="45" hidden="false" customHeight="true" outlineLevel="0" collapsed="false">
      <c r="B6" s="44" t="s">
        <v>138</v>
      </c>
      <c r="C6" s="45" t="s">
        <v>139</v>
      </c>
    </row>
    <row r="7" customFormat="false" ht="45" hidden="false" customHeight="true" outlineLevel="0" collapsed="false">
      <c r="B7" s="44" t="s">
        <v>140</v>
      </c>
      <c r="C7" s="45" t="s">
        <v>141</v>
      </c>
    </row>
    <row r="8" customFormat="false" ht="45" hidden="false" customHeight="true" outlineLevel="0" collapsed="false">
      <c r="B8" s="44" t="s">
        <v>142</v>
      </c>
      <c r="C8" s="45" t="s">
        <v>143</v>
      </c>
    </row>
    <row r="9" customFormat="false" ht="45" hidden="false" customHeight="true" outlineLevel="0" collapsed="false">
      <c r="B9" s="44" t="s">
        <v>144</v>
      </c>
      <c r="C9" s="45" t="s">
        <v>145</v>
      </c>
    </row>
    <row r="10" customFormat="false" ht="45" hidden="false" customHeight="true" outlineLevel="0" collapsed="false">
      <c r="B10" s="44" t="s">
        <v>146</v>
      </c>
      <c r="C10" s="45" t="s">
        <v>147</v>
      </c>
    </row>
    <row r="11" customFormat="false" ht="45" hidden="false" customHeight="true" outlineLevel="0" collapsed="false">
      <c r="B11" s="44" t="s">
        <v>11</v>
      </c>
      <c r="C11" s="45" t="s">
        <v>148</v>
      </c>
    </row>
    <row r="12" customFormat="false" ht="45" hidden="false" customHeight="true" outlineLevel="0" collapsed="false">
      <c r="B12" s="44" t="s">
        <v>12</v>
      </c>
      <c r="C12" s="45" t="s">
        <v>149</v>
      </c>
    </row>
    <row r="13" customFormat="false" ht="45" hidden="false" customHeight="true" outlineLevel="0" collapsed="false">
      <c r="B13" s="44" t="s">
        <v>150</v>
      </c>
      <c r="C13" s="45" t="s">
        <v>151</v>
      </c>
    </row>
    <row r="15" customFormat="false" ht="15" hidden="false" customHeight="true" outlineLevel="0" collapsed="false">
      <c r="B15" s="24" t="s">
        <v>152</v>
      </c>
    </row>
    <row r="16" customFormat="false" ht="15" hidden="false" customHeight="true" outlineLevel="0" collapsed="false">
      <c r="B16" s="5" t="s">
        <v>73</v>
      </c>
      <c r="C16" s="5" t="s">
        <v>153</v>
      </c>
    </row>
    <row r="17" customFormat="false" ht="34.5" hidden="false" customHeight="true" outlineLevel="0" collapsed="false">
      <c r="B17" s="46" t="s">
        <v>154</v>
      </c>
      <c r="C17" s="45" t="s">
        <v>155</v>
      </c>
    </row>
    <row r="18" customFormat="false" ht="34.5" hidden="false" customHeight="true" outlineLevel="0" collapsed="false">
      <c r="B18" s="46" t="s">
        <v>156</v>
      </c>
      <c r="C18" s="45" t="s">
        <v>157</v>
      </c>
    </row>
    <row r="19" customFormat="false" ht="34.5" hidden="false" customHeight="true" outlineLevel="0" collapsed="false">
      <c r="B19" s="46" t="s">
        <v>158</v>
      </c>
      <c r="C19" s="45" t="s">
        <v>159</v>
      </c>
    </row>
    <row r="20" customFormat="false" ht="34.5" hidden="false" customHeight="true" outlineLevel="0" collapsed="false">
      <c r="B20" s="46" t="s">
        <v>160</v>
      </c>
      <c r="C20" s="45" t="s">
        <v>161</v>
      </c>
    </row>
    <row r="21" customFormat="false" ht="34.5" hidden="false" customHeight="true" outlineLevel="0" collapsed="false">
      <c r="B21" s="46" t="s">
        <v>162</v>
      </c>
      <c r="C21" s="45" t="s">
        <v>163</v>
      </c>
    </row>
    <row r="22" customFormat="false" ht="34.5" hidden="false" customHeight="true" outlineLevel="0" collapsed="false">
      <c r="B22" s="46" t="s">
        <v>164</v>
      </c>
      <c r="C22" s="45" t="s">
        <v>165</v>
      </c>
    </row>
    <row r="23" customFormat="false" ht="34.5" hidden="false" customHeight="true" outlineLevel="0" collapsed="false">
      <c r="B23" s="46" t="s">
        <v>166</v>
      </c>
      <c r="C23" s="45" t="s">
        <v>167</v>
      </c>
    </row>
    <row r="24" customFormat="false" ht="34.5" hidden="false" customHeight="true" outlineLevel="0" collapsed="false">
      <c r="B24" s="46" t="s">
        <v>168</v>
      </c>
      <c r="C24" s="45" t="s">
        <v>169</v>
      </c>
    </row>
    <row r="25" customFormat="false" ht="34.5" hidden="false" customHeight="true" outlineLevel="0" collapsed="false">
      <c r="B25" s="46" t="s">
        <v>170</v>
      </c>
      <c r="C25" s="45" t="s">
        <v>171</v>
      </c>
    </row>
    <row r="26" customFormat="false" ht="34.5" hidden="false" customHeight="true" outlineLevel="0" collapsed="false">
      <c r="B26" s="46" t="s">
        <v>172</v>
      </c>
      <c r="C26" s="45" t="s">
        <v>173</v>
      </c>
    </row>
    <row r="27" customFormat="false" ht="34.5" hidden="false" customHeight="true" outlineLevel="0" collapsed="false">
      <c r="B27" s="46" t="s">
        <v>174</v>
      </c>
      <c r="C27" s="45" t="s">
        <v>175</v>
      </c>
    </row>
    <row r="28" customFormat="false" ht="34.5" hidden="false" customHeight="true" outlineLevel="0" collapsed="false">
      <c r="B28" s="46" t="s">
        <v>176</v>
      </c>
      <c r="C28" s="45" t="s">
        <v>177</v>
      </c>
    </row>
    <row r="29" customFormat="false" ht="34.5" hidden="false" customHeight="true" outlineLevel="0" collapsed="false">
      <c r="B29" s="46" t="s">
        <v>178</v>
      </c>
      <c r="C29" s="45" t="s">
        <v>179</v>
      </c>
    </row>
    <row r="30" customFormat="false" ht="34.5" hidden="false" customHeight="true" outlineLevel="0" collapsed="false">
      <c r="B30" s="46" t="s">
        <v>180</v>
      </c>
      <c r="C30" s="45" t="s">
        <v>181</v>
      </c>
    </row>
    <row r="31" customFormat="false" ht="34.5" hidden="false" customHeight="true" outlineLevel="0" collapsed="false">
      <c r="B31" s="46" t="s">
        <v>182</v>
      </c>
      <c r="C31" s="45" t="s">
        <v>183</v>
      </c>
    </row>
    <row r="32" customFormat="false" ht="34.5" hidden="false" customHeight="true" outlineLevel="0" collapsed="false">
      <c r="B32" s="46" t="s">
        <v>184</v>
      </c>
      <c r="C32" s="45" t="s">
        <v>185</v>
      </c>
    </row>
    <row r="34" customFormat="false" ht="15" hidden="false" customHeight="true" outlineLevel="0" collapsed="false">
      <c r="B34" s="24" t="s">
        <v>186</v>
      </c>
    </row>
    <row r="35" customFormat="false" ht="15" hidden="false" customHeight="true" outlineLevel="0" collapsed="false">
      <c r="B35" s="47" t="s">
        <v>187</v>
      </c>
      <c r="C35" s="47"/>
    </row>
    <row r="36" customFormat="false" ht="15" hidden="false" customHeight="true" outlineLevel="0" collapsed="false">
      <c r="B36" s="47" t="s">
        <v>188</v>
      </c>
      <c r="C36" s="47"/>
    </row>
    <row r="37" customFormat="false" ht="15" hidden="false" customHeight="true" outlineLevel="0" collapsed="false">
      <c r="B37" s="47" t="s">
        <v>189</v>
      </c>
      <c r="C37" s="47"/>
    </row>
    <row r="38" customFormat="false" ht="15" hidden="false" customHeight="true" outlineLevel="0" collapsed="false">
      <c r="B38" s="47" t="s">
        <v>190</v>
      </c>
      <c r="C38" s="47"/>
    </row>
    <row r="39" customFormat="false" ht="15" hidden="false" customHeight="true" outlineLevel="0" collapsed="false">
      <c r="B39" s="47" t="s">
        <v>191</v>
      </c>
      <c r="C39" s="47"/>
    </row>
    <row r="40" customFormat="false" ht="15" hidden="false" customHeight="true" outlineLevel="0" collapsed="false">
      <c r="B40" s="47" t="s">
        <v>192</v>
      </c>
      <c r="C40" s="47"/>
    </row>
    <row r="41" customFormat="false" ht="15" hidden="false" customHeight="true" outlineLevel="0" collapsed="false">
      <c r="B41" s="47" t="s">
        <v>193</v>
      </c>
      <c r="C41" s="47"/>
    </row>
  </sheetData>
  <mergeCells count="8">
    <mergeCell ref="B2:C2"/>
    <mergeCell ref="B35:C35"/>
    <mergeCell ref="B36:C36"/>
    <mergeCell ref="B37:C37"/>
    <mergeCell ref="B38:C38"/>
    <mergeCell ref="B39:C39"/>
    <mergeCell ref="B40:C40"/>
    <mergeCell ref="B41:C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2026-07-27T14:49:05Z</dcterms:created>
  <dc:creator>openpyxl</dc:creator>
  <dc:description/>
  <dc:language>en-US</dc:language>
  <cp:lastModifiedBy/>
  <dcterms:modified xsi:type="dcterms:W3CDTF">2026-07-27T14:50:21Z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